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Painel" state="visible" r:id="rId5"/>
    <sheet sheetId="3" name="Clientes" state="visible" r:id="rId6"/>
    <sheet sheetId="4" name="Produtos" state="visible" r:id="rId7"/>
    <sheet sheetId="5" name="Movimentações" state="visible" r:id="rId8"/>
    <sheet sheetId="6" name="Vendas" state="visible" r:id="rId9"/>
    <sheet sheetId="7" name="Fluxo de Caixa" state="visible" r:id="rId10"/>
    <sheet sheetId="8" name="Contas a Pagar" state="visible" r:id="rId11"/>
    <sheet sheetId="9" name="Contas a Receber" state="visible" r:id="rId12"/>
    <sheet sheetId="10" name="DRE" state="visible" r:id="rId13"/>
    <sheet sheetId="11" name="Categorias" state="visible" r:id="rId14"/>
  </sheets>
  <calcPr calcId="171027"/>
</workbook>
</file>

<file path=xl/sharedStrings.xml><?xml version="1.0" encoding="utf-8"?>
<sst xmlns="http://schemas.openxmlformats.org/spreadsheetml/2006/main" count="372" uniqueCount="264">
  <si>
    <t>SyncSheet — Sistema de Gestão Financeira</t>
  </si>
  <si>
    <t>Sua planilha, seu sistema, seus dados.</t>
  </si>
  <si>
    <t>🚀 COMO USAR O SEU SYNCSHEET</t>
  </si>
  <si>
    <t>1. Acesse o sistema online com o LINK ENVIADO no seu e-mail/mensagem do Mercado Livre.</t>
  </si>
  <si>
    <t>2. Faça o upload deste arquivo Excel no sistema.</t>
  </si>
  <si>
    <t>3. Use a interface visual para cadastrar clientes, produtos, vendas, contas e mais.</t>
  </si>
  <si>
    <t>4. Quando terminar, clique em 'Baixar Planilha Atualizada'.</t>
  </si>
  <si>
    <t>5. Salve o arquivo no seu computador — agora ele está atualizado com tudo que você fez.</t>
  </si>
  <si>
    <t>📊 O QUE VOCÊ ENCONTRA NESTE ARQUIVO</t>
  </si>
  <si>
    <t>• Painel — KPIs financeiros, vendas e gestão num único lugar</t>
  </si>
  <si>
    <t>• Clientes — Cadastro completo com canais de venda</t>
  </si>
  <si>
    <t>• Produtos — Catálogo com cálculo automático de margem e estoque</t>
  </si>
  <si>
    <t>• Movimentações — Entradas de estoque (compras de fornecedores)</t>
  </si>
  <si>
    <t>• Vendas — Registro com cálculo automático</t>
  </si>
  <si>
    <t>• Fluxo de Caixa — Entradas, saídas e saldo mensal</t>
  </si>
  <si>
    <t>• Contas a Pagar — Compromissos com fornecedores</t>
  </si>
  <si>
    <t>• Contas a Receber — Recebíveis pendentes de clientes</t>
  </si>
  <si>
    <t>• DRE — Demonstração do Resultado mensal e anual</t>
  </si>
  <si>
    <t>• Categorias — Plano de contas padrão</t>
  </si>
  <si>
    <t>🔒 SEUS DADOS SÃO SEUS</t>
  </si>
  <si>
    <t>Tudo é processado no seu navegador. Nada é salvo em servidores externos.</t>
  </si>
  <si>
    <t>Quando você fechar o navegador, os dados ficam APENAS no arquivo que você baixou.</t>
  </si>
  <si>
    <t>Faça backup do arquivo regularmente — recomendamos uma cópia por semana.</t>
  </si>
  <si>
    <t>💡 DICAS IMPORTANTES</t>
  </si>
  <si>
    <t>• Esta planilha vem VAZIA, pronta para você começar a usar.</t>
  </si>
  <si>
    <t>• Trabalhe sempre com UMA versão do arquivo por vez para não duplicar dados.</t>
  </si>
  <si>
    <t>• As fórmulas se recalculam ao abrir no Excel/Google Sheets/LibreOffice.</t>
  </si>
  <si>
    <t>• Não altere os códigos das categorias (R01, D02, etc.) — eles são usados pelo sistema.</t>
  </si>
  <si>
    <t>📱 COMPATIBILIDADE</t>
  </si>
  <si>
    <t>• Sistema: Windows, macOS, Linux, iPad, Android (tablets)</t>
  </si>
  <si>
    <t>• Planilha: Excel 2016+, Google Sheets, LibreOffice Calc, WPS Office</t>
  </si>
  <si>
    <t>• Navegador: Chrome, Edge, Firefox, Safari (atualizados)</t>
  </si>
  <si>
    <t>📞 SUPORTE E ATUALIZAÇÕES</t>
  </si>
  <si>
    <t>Em caso de dúvidas, entre em contato pelo Mercado Livre na mesma conversa da compra.</t>
  </si>
  <si>
    <t>Atualizações grátis por 1 ano a partir da data da compra.</t>
  </si>
  <si>
    <t>Versão 2.0 — SyncSheet 2026 — Todos os direitos reservados.</t>
  </si>
  <si>
    <t>Este arquivo é licenciado individualmente. A distribuição não autorizada é proibida.</t>
  </si>
  <si>
    <t>Painel — Visão Geral</t>
  </si>
  <si>
    <t>KPIs financeiros, vendas e estoque em tempo real</t>
  </si>
  <si>
    <t>📊 FINANCEIRO</t>
  </si>
  <si>
    <t>RECEITA BRUTA (ANO)</t>
  </si>
  <si>
    <t>LUCRO BRUTO (ANO)</t>
  </si>
  <si>
    <t>RESULTADO LÍQUIDO</t>
  </si>
  <si>
    <t>MARGEM LÍQUIDA</t>
  </si>
  <si>
    <t>🛒 VENDAS</t>
  </si>
  <si>
    <t>TOTAL DE VENDAS</t>
  </si>
  <si>
    <t>FATURAMENTO (PAGAS)</t>
  </si>
  <si>
    <t>TICKET MÉDIO</t>
  </si>
  <si>
    <t>CLIENTES CADASTRADOS</t>
  </si>
  <si>
    <t>📦 ESTOQUE</t>
  </si>
  <si>
    <t>TOTAL DE PRODUTOS</t>
  </si>
  <si>
    <t>VALOR EM ESTOQUE</t>
  </si>
  <si>
    <t>PRECISAM REPOR</t>
  </si>
  <si>
    <t>SEM ESTOQUE</t>
  </si>
  <si>
    <t>💼 POSIÇÃO DE CONTAS</t>
  </si>
  <si>
    <t>Descrição</t>
  </si>
  <si>
    <t>Valor</t>
  </si>
  <si>
    <t>A Receber — Pendente</t>
  </si>
  <si>
    <t>A Receber — Recebido</t>
  </si>
  <si>
    <t>A Pagar — Pendente</t>
  </si>
  <si>
    <t>A Pagar — Pago</t>
  </si>
  <si>
    <t>Saldo Líquido</t>
  </si>
  <si>
    <t>Clientes</t>
  </si>
  <si>
    <t>Cadastro de clientes e canais de venda</t>
  </si>
  <si>
    <t>Código</t>
  </si>
  <si>
    <t>Nome / Razão Social</t>
  </si>
  <si>
    <t>CPF/CNPJ</t>
  </si>
  <si>
    <t>E-mail</t>
  </si>
  <si>
    <t>Telefone</t>
  </si>
  <si>
    <t>Cidade</t>
  </si>
  <si>
    <t>Estado</t>
  </si>
  <si>
    <t>Canal de Venda</t>
  </si>
  <si>
    <t>Data Cadastro</t>
  </si>
  <si>
    <t>Observações</t>
  </si>
  <si>
    <t>CLI0001</t>
  </si>
  <si>
    <t>luis henrique</t>
  </si>
  <si>
    <t>5151561564151</t>
  </si>
  <si>
    <t>smkm@jjnjk</t>
  </si>
  <si>
    <t>16545545482</t>
  </si>
  <si>
    <t>lusi</t>
  </si>
  <si>
    <t>AL</t>
  </si>
  <si>
    <t>Instagram</t>
  </si>
  <si>
    <t>CLI0002</t>
  </si>
  <si>
    <t>joazinho</t>
  </si>
  <si>
    <t>265421515455</t>
  </si>
  <si>
    <t>fsd@dff</t>
  </si>
  <si>
    <t>16554564584</t>
  </si>
  <si>
    <t>duda</t>
  </si>
  <si>
    <t>BA</t>
  </si>
  <si>
    <t>WhatsApp</t>
  </si>
  <si>
    <t>fs</t>
  </si>
  <si>
    <t>Produtos</t>
  </si>
  <si>
    <t>Cadastro de produtos com cálculo automático de estoque e margem</t>
  </si>
  <si>
    <t>SKU</t>
  </si>
  <si>
    <t>Produto</t>
  </si>
  <si>
    <t>Categoria</t>
  </si>
  <si>
    <t>Unidade</t>
  </si>
  <si>
    <t>Preço Custo</t>
  </si>
  <si>
    <t>Preço Venda</t>
  </si>
  <si>
    <t>Margem %</t>
  </si>
  <si>
    <t>Estoque Mín.</t>
  </si>
  <si>
    <t>Estoque Atual</t>
  </si>
  <si>
    <t>Valor em Estoque</t>
  </si>
  <si>
    <t>Status</t>
  </si>
  <si>
    <t>PROD0001</t>
  </si>
  <si>
    <t>camiseta</t>
  </si>
  <si>
    <t>roupa</t>
  </si>
  <si>
    <t>UN</t>
  </si>
  <si>
    <t>PROD0002</t>
  </si>
  <si>
    <t>Moletom</t>
  </si>
  <si>
    <t>roupas</t>
  </si>
  <si>
    <t>Movimentações de Entrada</t>
  </si>
  <si>
    <t>Compras de fornecedores com cálculo automático de custo total</t>
  </si>
  <si>
    <t>Data</t>
  </si>
  <si>
    <t>Fornecedor</t>
  </si>
  <si>
    <t>Nota Fiscal</t>
  </si>
  <si>
    <t>Quantidade</t>
  </si>
  <si>
    <t>Custo Unit.</t>
  </si>
  <si>
    <t>Custo Total</t>
  </si>
  <si>
    <t>textil</t>
  </si>
  <si>
    <t>1</t>
  </si>
  <si>
    <t>2</t>
  </si>
  <si>
    <t>3</t>
  </si>
  <si>
    <t>Vendas</t>
  </si>
  <si>
    <t>Registro de vendas com cálculo automático de cliente, preço e total</t>
  </si>
  <si>
    <t>Nº Venda</t>
  </si>
  <si>
    <t>Cód. Cliente</t>
  </si>
  <si>
    <t>SKU Produto</t>
  </si>
  <si>
    <t>Cliente</t>
  </si>
  <si>
    <t>Preço Unit.</t>
  </si>
  <si>
    <t>Desconto %</t>
  </si>
  <si>
    <t>Venda Total</t>
  </si>
  <si>
    <t>Forma Pgto</t>
  </si>
  <si>
    <t>V0001</t>
  </si>
  <si>
    <t>Pix</t>
  </si>
  <si>
    <t>Pago</t>
  </si>
  <si>
    <t>V0002</t>
  </si>
  <si>
    <t>Pendente</t>
  </si>
  <si>
    <t>Fluxo de Caixa</t>
  </si>
  <si>
    <t>Controle de entradas e saídas de caixa do mês</t>
  </si>
  <si>
    <t>SALDO INICIAL DO MÊS</t>
  </si>
  <si>
    <t>ENTRADAS</t>
  </si>
  <si>
    <t>Cliente / Fornecedor</t>
  </si>
  <si>
    <t>Venda V0001</t>
  </si>
  <si>
    <t>R01</t>
  </si>
  <si>
    <t>Confirmado</t>
  </si>
  <si>
    <t>Auto: venda V0001</t>
  </si>
  <si>
    <t>Venda V0002</t>
  </si>
  <si>
    <t>Auto: Venda V0002</t>
  </si>
  <si>
    <t>TOTAL ENTRADAS</t>
  </si>
  <si>
    <t>SAÍDAS</t>
  </si>
  <si>
    <t>Compra camiseta (NF 1)</t>
  </si>
  <si>
    <t>D01</t>
  </si>
  <si>
    <t>Auto: entrada de estoque</t>
  </si>
  <si>
    <t>Compra Moletom (NF 3)</t>
  </si>
  <si>
    <t>Auto: Compra Moletom (NF 3)</t>
  </si>
  <si>
    <t>TOTAL SAÍDAS</t>
  </si>
  <si>
    <t>SALDO FINAL DO MÊS</t>
  </si>
  <si>
    <t>Contas a Pagar</t>
  </si>
  <si>
    <t>Compromissos financeiros com fornecedores e prestadores</t>
  </si>
  <si>
    <t>Vencimento</t>
  </si>
  <si>
    <t>Valor Pago</t>
  </si>
  <si>
    <t>Data Pgto</t>
  </si>
  <si>
    <t>Contas a Receber</t>
  </si>
  <si>
    <t>Recebíveis pendentes de clientes e parceiros</t>
  </si>
  <si>
    <t>Valor Recebido</t>
  </si>
  <si>
    <t>Data Recebimento</t>
  </si>
  <si>
    <t>Recebido</t>
  </si>
  <si>
    <t>Auto: venda V0002</t>
  </si>
  <si>
    <t>DRE — Demonstração do Resultado</t>
  </si>
  <si>
    <t>Análise mensal e anual do resultado financeiro</t>
  </si>
  <si>
    <t>Conta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</si>
  <si>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</si>
  <si>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</si>
  <si>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</si>
  <si>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</si>
  <si>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</si>
  <si>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</si>
  <si>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</si>
  <si>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</si>
  <si>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</si>
  <si>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</si>
  <si>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</si>
  <si>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</si>
  <si>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</si>
  <si>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1.</t>
  </si>
  <si>
    <t>RECEITA BRUTA</t>
  </si>
  <si>
    <t>1.1</t>
  </si>
  <si>
    <t>Vendas de Produtos</t>
  </si>
  <si>
    <t>1.2</t>
  </si>
  <si>
    <t>Vendas de Serviços</t>
  </si>
  <si>
    <t>1.3</t>
  </si>
  <si>
    <t>Cursos e Infoprodutos</t>
  </si>
  <si>
    <t>1.4</t>
  </si>
  <si>
    <t>Assinaturas / Recorrência</t>
  </si>
  <si>
    <t>1.5</t>
  </si>
  <si>
    <t>Outras Receitas</t>
  </si>
  <si>
    <t>(=)</t>
  </si>
  <si>
    <t>RECEITA BRUTA TOTAL</t>
  </si>
  <si>
    <t>2.</t>
  </si>
  <si>
    <t>DEDUÇÕES</t>
  </si>
  <si>
    <t>2.1</t>
  </si>
  <si>
    <t>Impostos sobre Vendas</t>
  </si>
  <si>
    <t>2.2</t>
  </si>
  <si>
    <t>Devoluções e Cancelamentos</t>
  </si>
  <si>
    <t>RECEITA LÍQUIDA</t>
  </si>
  <si>
    <t>3.</t>
  </si>
  <si>
    <t>CUSTOS</t>
  </si>
  <si>
    <t>3.1</t>
  </si>
  <si>
    <t>CMV (Custo da Mercadoria Vendida)</t>
  </si>
  <si>
    <t>3.2</t>
  </si>
  <si>
    <t>Custo de Serviço</t>
  </si>
  <si>
    <t>LUCRO BRUTO</t>
  </si>
  <si>
    <t>4.</t>
  </si>
  <si>
    <t>DESPESAS OPERACIONAIS</t>
  </si>
  <si>
    <t>4.1</t>
  </si>
  <si>
    <t>Salários e Encargos</t>
  </si>
  <si>
    <t>4.2</t>
  </si>
  <si>
    <t>Aluguel</t>
  </si>
  <si>
    <t>4.3</t>
  </si>
  <si>
    <t>Marketing e Publicidade</t>
  </si>
  <si>
    <t>4.4</t>
  </si>
  <si>
    <t>Ferramentas / Software</t>
  </si>
  <si>
    <t>4.5</t>
  </si>
  <si>
    <t>Contabilidade</t>
  </si>
  <si>
    <t>4.6</t>
  </si>
  <si>
    <t>Telefone / Internet</t>
  </si>
  <si>
    <t>4.7</t>
  </si>
  <si>
    <t>Terceirizados</t>
  </si>
  <si>
    <t>4.8</t>
  </si>
  <si>
    <t>Material de Consumo</t>
  </si>
  <si>
    <t>4.9</t>
  </si>
  <si>
    <t>Outras Despesas</t>
  </si>
  <si>
    <t>TOTAL DESPESAS OPERACIONAIS</t>
  </si>
  <si>
    <t>RESULTADO OPERACIONAL</t>
  </si>
  <si>
    <t>5.</t>
  </si>
  <si>
    <t>RESULTADO NÃO OPERACIONAL</t>
  </si>
  <si>
    <t>5.1</t>
  </si>
  <si>
    <t>Receitas Financeiras</t>
  </si>
  <si>
    <t>5.2</t>
  </si>
  <si>
    <t>Despesas Financeiras</t>
  </si>
  <si>
    <t>RESULTADO FINANCEIRO</t>
  </si>
  <si>
    <t>(%)</t>
  </si>
  <si>
    <t>Categorias</t>
  </si>
  <si>
    <t>Plano de contas — Receitas e Despesas</t>
  </si>
  <si>
    <t>Categoria de Receita</t>
  </si>
  <si>
    <t>R02</t>
  </si>
  <si>
    <t>R03</t>
  </si>
  <si>
    <t>R04</t>
  </si>
  <si>
    <t>R05</t>
  </si>
  <si>
    <t>R06</t>
  </si>
  <si>
    <t>Categoria de Despesa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</si>
  <si>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</si>
  <si>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</si>
  <si>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</si>
  <si>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</si>
  <si>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</si>
  <si>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</si>
  <si>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</si>
  <si>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</si>
  <si>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</si>
  <si>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</si>
  <si>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Impostos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</si>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</sst>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 &quot;#,##0.00;[RED]&quot;-R$ &quot;#,##0.00;-"/>
    <numFmt numFmtId="165" formatCode="0.0%;[RED]-0.0%;-"/>
    <numFmt numFmtId="166" formatCode="#,##0;[RED]-#,##0;-"/>
    <numFmt numFmtId="167" formatCode="dd/mm/yyyy"/>
  </numFmts>
  <fonts count="29" x14ac:knownFonts="1">
    <font>
      <color theme="1"/>
      <family val="2"/>
      <scheme val="minor"/>
      <sz val="11"/>
      <name val="Calibri"/>
    </font>
    <font>
      <color theme="1"/>
      <scheme val="minor"/>
      <sz val="11"/>
      <name val="Calibri"/>
    </font>
    <font>
      <b/>
      <color rgb="00FFFFFF"/>
      <sz val="18"/>
      <name val="Calibri"/>
    </font>
    <font>
      <i/>
      <color rgb="00FFFFFF"/>
      <sz val="12"/>
      <name val="Calibri"/>
    </font>
    <font>
      <b/>
      <color rgb="002E5C8A"/>
      <sz val="12"/>
      <name val="Calibri"/>
    </font>
    <font>
      <color rgb="00333333"/>
      <sz val="11"/>
      <name val="Calibri"/>
    </font>
    <font>
      <i/>
      <color rgb="00666666"/>
      <sz val="10"/>
      <name val="Calibri"/>
    </font>
    <font>
      <b/>
      <color rgb="FFFFFFFF"/>
      <sz val="11"/>
      <name val="Arial"/>
    </font>
    <font>
      <b/>
      <color rgb="FF1E293B"/>
      <sz val="16"/>
      <name val="Arial"/>
    </font>
    <font>
      <color rgb="FF64748B"/>
      <sz val="11"/>
      <name val="Arial"/>
    </font>
    <font>
      <b/>
      <color rgb="FF64748B"/>
      <sz val="9"/>
      <name val="Arial"/>
    </font>
    <font>
      <b/>
      <color rgb="FF1E3A5F"/>
      <sz val="14"/>
      <name val="Arial"/>
    </font>
    <font>
      <b/>
      <color rgb="FF065F46"/>
      <sz val="14"/>
      <name val="Arial"/>
    </font>
    <font>
      <b/>
      <color rgb="FF92400E"/>
      <sz val="14"/>
      <name val="Arial"/>
    </font>
    <font>
      <b/>
      <color rgb="FF991B1B"/>
      <sz val="14"/>
      <name val="Arial"/>
    </font>
    <font>
      <b/>
      <color rgb="FFFFFFFF"/>
      <sz val="10"/>
      <name val="Arial"/>
    </font>
    <font>
      <color rgb="FF1E293B"/>
      <sz val="11"/>
      <name val="Arial"/>
    </font>
    <font>
      <color rgb="FF1E293B"/>
      <sz val="12"/>
      <name val="Arial"/>
    </font>
    <font>
      <b/>
      <color rgb="FF1E293B"/>
      <sz val="11"/>
      <name val="Arial"/>
    </font>
    <font>
      <b/>
      <color rgb="FF1E293B"/>
      <sz val="12"/>
      <name val="Arial"/>
    </font>
    <font>
      <color rgb="FF1E293B"/>
      <sz val="10"/>
      <name val="Arial"/>
    </font>
    <font>
      <color rgb="FF0000FF"/>
      <sz val="10"/>
      <name val="Arial"/>
    </font>
    <font>
      <color theme="1"/>
      <sz val="11"/>
      <name val="Calibri"/>
    </font>
    <font>
      <b/>
      <color rgb="FF0000FF"/>
      <sz val="12"/>
      <name val="Arial"/>
    </font>
    <font>
      <b/>
      <color rgb="FFFFFFFF"/>
      <sz val="12"/>
      <name val="Arial"/>
    </font>
    <font>
      <b/>
      <color rgb="FF065F46"/>
      <sz val="12"/>
      <name val="Arial"/>
    </font>
    <font>
      <b/>
      <color rgb="FF991B1B"/>
      <sz val="12"/>
      <name val="Arial"/>
    </font>
    <font>
      <b/>
      <color rgb="FFFFFFFF"/>
      <sz val="14"/>
      <name val="Arial"/>
    </font>
    <font>
      <b/>
      <color rgb="FF1E293B"/>
      <sz val="10"/>
      <name val="Arial"/>
    </font>
  </fonts>
  <fills count="16">
    <fill>
      <patternFill patternType="none"/>
    </fill>
    <fill>
      <patternFill patternType="gray125"/>
    </fill>
    <fill>
      <patternFill/>
    </fill>
    <fill>
      <patternFill patternType="solid">
        <fgColor rgb="002E5C8A"/>
      </patternFill>
    </fill>
    <fill>
      <patternFill patternType="solid">
        <fgColor rgb="00E8F0F8"/>
      </patternFill>
    </fill>
    <fill>
      <patternFill patternType="solid">
        <fgColor rgb="FF0F172A"/>
        <bgColor rgb="FF0F172A"/>
      </patternFill>
    </fill>
    <fill>
      <patternFill patternType="solid">
        <fgColor rgb="FF1E3A5F"/>
        <bgColor rgb="FF1E3A5F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059669"/>
        <bgColor rgb="FF059669"/>
      </patternFill>
    </fill>
    <fill>
      <patternFill patternType="solid">
        <fgColor rgb="FFDC2626"/>
        <bgColor rgb="FFDC2626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6" fontId="11" fillId="10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66" fontId="13" fillId="10" borderId="1" xfId="0" applyNumberFormat="1" applyFont="1" applyFill="1" applyBorder="1" applyAlignment="1">
      <alignment horizontal="center" vertical="center"/>
    </xf>
    <xf numFmtId="166" fontId="14" fillId="10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6" fillId="8" borderId="1" xfId="0" applyFont="1" applyFill="1" applyBorder="1" applyAlignment="1">
      <alignment horizontal="left" vertical="center"/>
    </xf>
    <xf numFmtId="164" fontId="17" fillId="8" borderId="1" xfId="0" applyNumberFormat="1" applyFont="1" applyFill="1" applyBorder="1" applyAlignment="1">
      <alignment horizontal="right" vertical="center"/>
    </xf>
    <xf numFmtId="0" fontId="16" fillId="10" borderId="1" xfId="0" applyFont="1" applyFill="1" applyBorder="1" applyAlignment="1">
      <alignment horizontal="left" vertical="center"/>
    </xf>
    <xf numFmtId="164" fontId="17" fillId="10" borderId="1" xfId="0" applyNumberFormat="1" applyFont="1" applyFill="1" applyBorder="1" applyAlignment="1">
      <alignment horizontal="right" vertical="center"/>
    </xf>
    <xf numFmtId="0" fontId="16" fillId="11" borderId="1" xfId="0" applyFont="1" applyFill="1" applyBorder="1" applyAlignment="1">
      <alignment horizontal="left" vertical="center"/>
    </xf>
    <xf numFmtId="164" fontId="17" fillId="11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 applyAlignment="1">
      <alignment horizontal="left" vertical="center"/>
    </xf>
    <xf numFmtId="164" fontId="19" fillId="7" borderId="1" xfId="0" applyNumberFormat="1" applyFont="1" applyFill="1" applyBorder="1" applyAlignment="1">
      <alignment horizontal="right" vertical="center"/>
    </xf>
    <xf numFmtId="49" fontId="20" fillId="10" borderId="1" xfId="0" applyNumberFormat="1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167" fontId="20" fillId="10" borderId="1" xfId="0" applyNumberFormat="1" applyFont="1" applyFill="1" applyBorder="1" applyAlignment="1">
      <alignment horizontal="left" vertical="center"/>
    </xf>
    <xf numFmtId="49" fontId="20" fillId="12" borderId="1" xfId="0" applyNumberFormat="1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167" fontId="20" fillId="12" borderId="1" xfId="0" applyNumberFormat="1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/>
    </xf>
    <xf numFmtId="164" fontId="21" fillId="10" borderId="1" xfId="0" applyNumberFormat="1" applyFont="1" applyFill="1" applyBorder="1" applyAlignment="1">
      <alignment horizontal="right" vertical="center"/>
    </xf>
    <xf numFmtId="165" fontId="20" fillId="10" borderId="1" xfId="0" applyNumberFormat="1" applyFont="1" applyFill="1" applyBorder="1" applyAlignment="1">
      <alignment horizontal="right" vertical="center"/>
    </xf>
    <xf numFmtId="166" fontId="21" fillId="10" borderId="1" xfId="0" applyNumberFormat="1" applyFont="1" applyFill="1" applyBorder="1" applyAlignment="1">
      <alignment horizontal="right" vertical="center"/>
    </xf>
    <xf numFmtId="166" fontId="20" fillId="10" borderId="1" xfId="0" applyNumberFormat="1" applyFont="1" applyFill="1" applyBorder="1" applyAlignment="1">
      <alignment horizontal="right" vertical="center"/>
    </xf>
    <xf numFmtId="164" fontId="20" fillId="10" borderId="1" xfId="0" applyNumberFormat="1" applyFont="1" applyFill="1" applyBorder="1" applyAlignment="1">
      <alignment horizontal="right" vertical="center"/>
    </xf>
    <xf numFmtId="0" fontId="21" fillId="12" borderId="1" xfId="0" applyFont="1" applyFill="1" applyBorder="1" applyAlignment="1">
      <alignment horizontal="left" vertical="center"/>
    </xf>
    <xf numFmtId="164" fontId="21" fillId="12" borderId="1" xfId="0" applyNumberFormat="1" applyFont="1" applyFill="1" applyBorder="1" applyAlignment="1">
      <alignment horizontal="right" vertical="center"/>
    </xf>
    <xf numFmtId="165" fontId="20" fillId="12" borderId="1" xfId="0" applyNumberFormat="1" applyFont="1" applyFill="1" applyBorder="1" applyAlignment="1">
      <alignment horizontal="right" vertical="center"/>
    </xf>
    <xf numFmtId="166" fontId="21" fillId="12" borderId="1" xfId="0" applyNumberFormat="1" applyFont="1" applyFill="1" applyBorder="1" applyAlignment="1">
      <alignment horizontal="right" vertical="center"/>
    </xf>
    <xf numFmtId="166" fontId="20" fillId="12" borderId="1" xfId="0" applyNumberFormat="1" applyFont="1" applyFill="1" applyBorder="1" applyAlignment="1">
      <alignment horizontal="right" vertical="center"/>
    </xf>
    <xf numFmtId="164" fontId="20" fillId="12" borderId="1" xfId="0" applyNumberFormat="1" applyFont="1" applyFill="1" applyBorder="1" applyAlignment="1">
      <alignment horizontal="right" vertical="center"/>
    </xf>
    <xf numFmtId="0" fontId="22" fillId="10" borderId="1" xfId="0" applyFont="1" applyFill="1" applyBorder="1" applyAlignment="1">
      <alignment vertical="bottom"/>
    </xf>
    <xf numFmtId="164" fontId="22" fillId="10" borderId="1" xfId="0" applyNumberFormat="1" applyFont="1" applyFill="1" applyBorder="1" applyAlignment="1">
      <alignment vertical="bottom"/>
    </xf>
    <xf numFmtId="165" fontId="20" fillId="10" borderId="1" xfId="0" applyNumberFormat="1" applyFont="1" applyFill="1" applyBorder="1" applyAlignment="1">
      <alignment vertical="bottom"/>
    </xf>
    <xf numFmtId="166" fontId="22" fillId="10" borderId="1" xfId="0" applyNumberFormat="1" applyFont="1" applyFill="1" applyBorder="1" applyAlignment="1">
      <alignment vertical="bottom"/>
    </xf>
    <xf numFmtId="166" fontId="20" fillId="10" borderId="1" xfId="0" applyNumberFormat="1" applyFont="1" applyFill="1" applyBorder="1" applyAlignment="1">
      <alignment vertical="bottom"/>
    </xf>
    <xf numFmtId="164" fontId="20" fillId="10" borderId="1" xfId="0" applyNumberFormat="1" applyFont="1" applyFill="1" applyBorder="1" applyAlignment="1">
      <alignment vertical="bottom"/>
    </xf>
    <xf numFmtId="0" fontId="20" fillId="10" borderId="1" xfId="0" applyFont="1" applyFill="1" applyBorder="1" applyAlignment="1">
      <alignment vertical="bottom"/>
    </xf>
    <xf numFmtId="0" fontId="22" fillId="12" borderId="1" xfId="0" applyFont="1" applyFill="1" applyBorder="1" applyAlignment="1">
      <alignment vertical="bottom"/>
    </xf>
    <xf numFmtId="164" fontId="22" fillId="12" borderId="1" xfId="0" applyNumberFormat="1" applyFont="1" applyFill="1" applyBorder="1" applyAlignment="1">
      <alignment vertical="bottom"/>
    </xf>
    <xf numFmtId="165" fontId="20" fillId="12" borderId="1" xfId="0" applyNumberFormat="1" applyFont="1" applyFill="1" applyBorder="1" applyAlignment="1">
      <alignment vertical="bottom"/>
    </xf>
    <xf numFmtId="166" fontId="22" fillId="12" borderId="1" xfId="0" applyNumberFormat="1" applyFont="1" applyFill="1" applyBorder="1" applyAlignment="1">
      <alignment vertical="bottom"/>
    </xf>
    <xf numFmtId="166" fontId="20" fillId="12" borderId="1" xfId="0" applyNumberFormat="1" applyFont="1" applyFill="1" applyBorder="1" applyAlignment="1">
      <alignment vertical="bottom"/>
    </xf>
    <xf numFmtId="164" fontId="20" fillId="12" borderId="1" xfId="0" applyNumberFormat="1" applyFont="1" applyFill="1" applyBorder="1" applyAlignment="1">
      <alignment vertical="bottom"/>
    </xf>
    <xf numFmtId="0" fontId="20" fillId="12" borderId="1" xfId="0" applyFont="1" applyFill="1" applyBorder="1" applyAlignment="1">
      <alignment vertical="bottom"/>
    </xf>
    <xf numFmtId="167" fontId="21" fillId="10" borderId="1" xfId="0" applyNumberFormat="1" applyFont="1" applyFill="1" applyBorder="1" applyAlignment="1">
      <alignment horizontal="left" vertical="center"/>
    </xf>
    <xf numFmtId="167" fontId="21" fillId="12" borderId="1" xfId="0" applyNumberFormat="1" applyFont="1" applyFill="1" applyBorder="1" applyAlignment="1">
      <alignment horizontal="left" vertical="center"/>
    </xf>
    <xf numFmtId="167" fontId="22" fillId="12" borderId="1" xfId="0" applyNumberFormat="1" applyFont="1" applyFill="1" applyBorder="1" applyAlignment="1">
      <alignment vertical="bottom"/>
    </xf>
    <xf numFmtId="167" fontId="22" fillId="10" borderId="1" xfId="0" applyNumberFormat="1" applyFont="1" applyFill="1" applyBorder="1" applyAlignment="1">
      <alignment vertical="bottom"/>
    </xf>
    <xf numFmtId="165" fontId="21" fillId="10" borderId="1" xfId="0" applyNumberFormat="1" applyFont="1" applyFill="1" applyBorder="1" applyAlignment="1">
      <alignment horizontal="right" vertical="center"/>
    </xf>
    <xf numFmtId="165" fontId="21" fillId="12" borderId="1" xfId="0" applyNumberFormat="1" applyFont="1" applyFill="1" applyBorder="1" applyAlignment="1">
      <alignment horizontal="right" vertical="center"/>
    </xf>
    <xf numFmtId="165" fontId="22" fillId="10" borderId="1" xfId="0" applyNumberFormat="1" applyFont="1" applyFill="1" applyBorder="1" applyAlignment="1">
      <alignment vertical="bottom"/>
    </xf>
    <xf numFmtId="165" fontId="22" fillId="12" borderId="1" xfId="0" applyNumberFormat="1" applyFont="1" applyFill="1" applyBorder="1" applyAlignment="1">
      <alignment vertical="bottom"/>
    </xf>
    <xf numFmtId="0" fontId="18" fillId="7" borderId="0" xfId="0" applyFont="1" applyFill="1" applyAlignment="1">
      <alignment horizontal="left" vertical="center"/>
    </xf>
    <xf numFmtId="164" fontId="23" fillId="13" borderId="1" xfId="0" applyNumberFormat="1" applyFont="1" applyFill="1" applyBorder="1" applyAlignment="1">
      <alignment horizontal="right" vertical="center"/>
    </xf>
    <xf numFmtId="0" fontId="24" fillId="14" borderId="0" xfId="0" applyFont="1" applyFill="1" applyAlignment="1">
      <alignment horizontal="center" vertical="center" wrapText="1"/>
    </xf>
    <xf numFmtId="167" fontId="22" fillId="12" borderId="1" xfId="0" applyNumberFormat="1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left" vertical="center"/>
    </xf>
    <xf numFmtId="164" fontId="22" fillId="12" borderId="1" xfId="0" applyNumberFormat="1" applyFont="1" applyFill="1" applyBorder="1" applyAlignment="1">
      <alignment horizontal="right" vertical="center"/>
    </xf>
    <xf numFmtId="167" fontId="22" fillId="10" borderId="1" xfId="0" applyNumberFormat="1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164" fontId="22" fillId="10" borderId="1" xfId="0" applyNumberFormat="1" applyFont="1" applyFill="1" applyBorder="1" applyAlignment="1">
      <alignment horizontal="right" vertical="center"/>
    </xf>
    <xf numFmtId="0" fontId="18" fillId="8" borderId="0" xfId="0" applyFont="1" applyFill="1" applyAlignment="1">
      <alignment horizontal="left" vertical="center"/>
    </xf>
    <xf numFmtId="164" fontId="25" fillId="8" borderId="1" xfId="0" applyNumberFormat="1" applyFont="1" applyFill="1" applyBorder="1" applyAlignment="1">
      <alignment horizontal="right" vertical="center"/>
    </xf>
    <xf numFmtId="0" fontId="22" fillId="8" borderId="0" xfId="0" applyFont="1" applyFill="1" applyAlignment="1">
      <alignment vertical="bottom"/>
    </xf>
    <xf numFmtId="0" fontId="24" fillId="15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left" vertical="center"/>
    </xf>
    <xf numFmtId="164" fontId="26" fillId="11" borderId="1" xfId="0" applyNumberFormat="1" applyFont="1" applyFill="1" applyBorder="1" applyAlignment="1">
      <alignment horizontal="right" vertical="center"/>
    </xf>
    <xf numFmtId="0" fontId="22" fillId="11" borderId="0" xfId="0" applyFont="1" applyFill="1" applyAlignment="1">
      <alignment vertical="bottom"/>
    </xf>
    <xf numFmtId="0" fontId="24" fillId="6" borderId="0" xfId="0" applyFont="1" applyFill="1" applyAlignment="1">
      <alignment horizontal="left" vertical="center"/>
    </xf>
    <xf numFmtId="164" fontId="27" fillId="6" borderId="1" xfId="0" applyNumberFormat="1" applyFont="1" applyFill="1" applyBorder="1" applyAlignment="1">
      <alignment horizontal="right" vertical="center"/>
    </xf>
    <xf numFmtId="0" fontId="22" fillId="6" borderId="0" xfId="0" applyFont="1" applyFill="1" applyAlignment="1">
      <alignment vertical="bottom"/>
    </xf>
    <xf numFmtId="0" fontId="7" fillId="6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right" vertical="center"/>
    </xf>
    <xf numFmtId="164" fontId="21" fillId="13" borderId="1" xfId="0" applyNumberFormat="1" applyFont="1" applyFill="1" applyBorder="1" applyAlignment="1">
      <alignment horizontal="right" vertical="center"/>
    </xf>
    <xf numFmtId="0" fontId="28" fillId="8" borderId="1" xfId="0" applyFont="1" applyFill="1" applyBorder="1" applyAlignment="1">
      <alignment horizontal="left" vertical="center"/>
    </xf>
    <xf numFmtId="164" fontId="28" fillId="8" borderId="1" xfId="0" applyNumberFormat="1" applyFont="1" applyFill="1" applyBorder="1" applyAlignment="1">
      <alignment horizontal="right" vertical="center"/>
    </xf>
    <xf numFmtId="0" fontId="28" fillId="11" borderId="1" xfId="0" applyFont="1" applyFill="1" applyBorder="1" applyAlignment="1">
      <alignment horizontal="left" vertical="center"/>
    </xf>
    <xf numFmtId="164" fontId="28" fillId="11" borderId="1" xfId="0" applyNumberFormat="1" applyFont="1" applyFill="1" applyBorder="1" applyAlignment="1">
      <alignment horizontal="right" vertical="center"/>
    </xf>
    <xf numFmtId="0" fontId="28" fillId="9" borderId="1" xfId="0" applyFont="1" applyFill="1" applyBorder="1" applyAlignment="1">
      <alignment horizontal="left" vertical="center"/>
    </xf>
    <xf numFmtId="164" fontId="28" fillId="9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24" fillId="5" borderId="1" xfId="0" applyNumberFormat="1" applyFont="1" applyFill="1" applyBorder="1" applyAlignment="1">
      <alignment horizontal="right" vertical="center"/>
    </xf>
    <xf numFmtId="0" fontId="18" fillId="9" borderId="1" xfId="0" applyFont="1" applyFill="1" applyBorder="1" applyAlignment="1">
      <alignment horizontal="left" vertical="center"/>
    </xf>
    <xf numFmtId="165" fontId="28" fillId="9" borderId="1" xfId="0" applyNumberFormat="1" applyFont="1" applyFill="1" applyBorder="1" applyAlignment="1">
      <alignment horizontal="right" vertical="center"/>
    </xf>
    <xf numFmtId="0" fontId="15" fillId="14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color rgb="FF065F46"/>
        <sz val="10"/>
        <name val="Arial"/>
      </font>
      <fill>
        <patternFill patternType="solid">
          <fgColor rgb="FFD1FAE5"/>
          <bgColor rgb="FFD1FAE5"/>
        </patternFill>
      </fill>
      <border>
        <left/>
        <right/>
        <top/>
        <bottom/>
        <diagonal/>
      </border>
    </dxf>
    <dxf>
      <font>
        <b/>
        <color rgb="FF92400E"/>
        <sz val="10"/>
        <name val="Arial"/>
      </font>
      <fill>
        <patternFill patternType="solid">
          <fgColor rgb="FFFEF3C7"/>
          <bgColor rgb="FFFEF3C7"/>
        </patternFill>
      </fill>
      <border>
        <left/>
        <right/>
        <top/>
        <bottom/>
        <diagonal/>
      </border>
    </dxf>
    <dxf>
      <font>
        <b/>
        <color rgb="FF991B1B"/>
        <sz val="10"/>
        <name val="Arial"/>
      </font>
      <fill>
        <patternFill patternType="solid">
          <fgColor rgb="FFFEE2E2"/>
          <bgColor rgb="FFFEE2E2"/>
        </patternFill>
      </fill>
      <border>
        <left/>
        <right/>
        <top/>
        <bottom/>
        <diagonal/>
      </border>
    </dxf>
    <dxf>
      <font>
        <b/>
        <color rgb="FF065F46"/>
        <sz val="10"/>
        <name val="Arial"/>
      </font>
      <fill>
        <patternFill patternType="solid">
          <fgColor rgb="FFD1FAE5"/>
          <bgColor rgb="FFD1FAE5"/>
        </patternFill>
      </fill>
      <border>
        <left/>
        <right/>
        <top/>
        <bottom/>
        <diagonal/>
      </border>
    </dxf>
    <dxf>
      <font>
        <b/>
        <color rgb="FF92400E"/>
        <sz val="10"/>
        <name val="Arial"/>
      </font>
      <fill>
        <patternFill patternType="solid">
          <fgColor rgb="FFFEF3C7"/>
          <bgColor rgb="FFFEF3C7"/>
        </patternFill>
      </fill>
      <border>
        <left/>
        <right/>
        <top/>
        <bottom/>
        <diagonal/>
      </border>
    </dxf>
    <dxf>
      <font>
        <b/>
        <color rgb="FF991B1B"/>
        <sz val="10"/>
        <name val="Arial"/>
      </font>
      <fill>
        <patternFill patternType="solid">
          <fgColor rgb="FFFEE2E2"/>
          <bgColor rgb="FFFEE2E2"/>
        </patternFill>
      </fill>
      <border>
        <left/>
        <right/>
        <top/>
        <bottom/>
        <diagonal/>
      </border>
    </dxf>
    <dxf>
      <font>
        <b/>
        <color rgb="FF065F46"/>
        <sz val="10"/>
        <name val="Arial"/>
      </font>
      <fill>
        <patternFill patternType="solid">
          <fgColor rgb="FFD1FAE5"/>
          <bgColor rgb="FFD1FAE5"/>
        </patternFill>
      </fill>
      <border>
        <left/>
        <right/>
        <top/>
        <bottom/>
        <diagonal/>
      </border>
    </dxf>
    <dxf>
      <font>
        <b/>
        <color rgb="FF92400E"/>
        <sz val="10"/>
        <name val="Arial"/>
      </font>
      <fill>
        <patternFill patternType="solid">
          <fgColor rgb="FFFEF3C7"/>
          <bgColor rgb="FFFEF3C7"/>
        </patternFill>
      </fill>
      <border>
        <left/>
        <right/>
        <top/>
        <bottom/>
        <diagonal/>
      </border>
    </dxf>
    <dxf>
      <font>
        <b/>
        <color rgb="FF991B1B"/>
        <sz val="10"/>
        <name val="Arial"/>
      </font>
      <fill>
        <patternFill patternType="solid">
          <fgColor rgb="FFFEE2E2"/>
          <bgColor rgb="FFFEE2E2"/>
        </patternFill>
      </fill>
      <border>
        <left/>
        <right/>
        <top/>
        <bottom/>
        <diagonal/>
      </border>
    </dxf>
    <dxf>
      <font/>
      <fill>
        <patternFill patternType="solid">
          <fgColor rgb="FFFEE2E2"/>
          <bgColor rgb="FFFEE2E2"/>
        </patternFill>
      </fill>
      <border>
        <left/>
        <right/>
        <top/>
        <bottom/>
        <diagonal/>
      </border>
    </dxf>
    <dxf>
      <font>
        <b/>
        <color rgb="FF065F46"/>
        <sz val="10"/>
        <name val="Arial"/>
      </font>
      <fill>
        <patternFill patternType="solid">
          <fgColor rgb="FFD1FAE5"/>
          <bgColor rgb="FFD1FAE5"/>
        </patternFill>
      </fill>
      <border>
        <left/>
        <right/>
        <top/>
        <bottom/>
        <diagonal/>
      </border>
    </dxf>
    <dxf>
      <font>
        <b/>
        <color rgb="FF92400E"/>
        <sz val="10"/>
        <name val="Arial"/>
      </font>
      <fill>
        <patternFill patternType="solid">
          <fgColor rgb="FFFEF3C7"/>
          <bgColor rgb="FFFEF3C7"/>
        </patternFill>
      </fill>
      <border>
        <left/>
        <right/>
        <top/>
        <bottom/>
        <diagonal/>
      </border>
    </dxf>
    <dxf>
      <font>
        <b/>
        <color rgb="FF991B1B"/>
        <sz val="10"/>
        <name val="Arial"/>
      </font>
      <fill>
        <patternFill patternType="solid">
          <fgColor rgb="FFFEE2E2"/>
          <bgColor rgb="FFFEE2E2"/>
        </patternFill>
      </fill>
      <border>
        <left/>
        <right/>
        <top/>
        <bottom/>
        <diagonal/>
      </border>
    </dxf>
    <dxf>
      <font/>
      <fill>
        <patternFill patternType="solid">
          <fgColor rgb="FFFEE2E2"/>
          <bgColor rgb="FFFEE2E2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50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100" style="1" customWidth="1"/>
  </cols>
  <sheetData>
    <row r="1" ht="40" customHeight="1" spans="1:1" s="1" customFormat="1" x14ac:dyDescent="0.25">
      <c r="A1" s="2" t="s">
        <v>0</v>
      </c>
    </row>
    <row r="2" ht="25" customHeight="1" spans="1:1" s="1" customFormat="1" x14ac:dyDescent="0.25">
      <c r="A2" s="3" t="s">
        <v>1</v>
      </c>
    </row>
    <row r="4" ht="22" customHeight="1" spans="1:1" s="1" customFormat="1" x14ac:dyDescent="0.25">
      <c r="A4" s="4" t="s">
        <v>2</v>
      </c>
    </row>
    <row r="6" spans="1:1" x14ac:dyDescent="0.25">
      <c r="A6" s="5" t="s">
        <v>3</v>
      </c>
    </row>
    <row r="7" spans="1:1" x14ac:dyDescent="0.25">
      <c r="A7" s="5" t="s">
        <v>4</v>
      </c>
    </row>
    <row r="8" spans="1:1" x14ac:dyDescent="0.25">
      <c r="A8" s="5" t="s">
        <v>5</v>
      </c>
    </row>
    <row r="9" spans="1:1" x14ac:dyDescent="0.25">
      <c r="A9" s="5" t="s">
        <v>6</v>
      </c>
    </row>
    <row r="10" spans="1:1" x14ac:dyDescent="0.25">
      <c r="A10" s="5" t="s">
        <v>7</v>
      </c>
    </row>
    <row r="12" ht="22" customHeight="1" spans="1:1" s="1" customFormat="1" x14ac:dyDescent="0.25">
      <c r="A12" s="4" t="s">
        <v>8</v>
      </c>
    </row>
    <row r="14" spans="1:1" x14ac:dyDescent="0.25">
      <c r="A14" s="5" t="s">
        <v>9</v>
      </c>
    </row>
    <row r="15" spans="1:1" x14ac:dyDescent="0.25">
      <c r="A15" s="5" t="s">
        <v>10</v>
      </c>
    </row>
    <row r="16" spans="1:1" x14ac:dyDescent="0.25">
      <c r="A16" s="5" t="s">
        <v>11</v>
      </c>
    </row>
    <row r="17" spans="1:1" x14ac:dyDescent="0.25">
      <c r="A17" s="5" t="s">
        <v>12</v>
      </c>
    </row>
    <row r="18" spans="1:1" x14ac:dyDescent="0.25">
      <c r="A18" s="5" t="s">
        <v>13</v>
      </c>
    </row>
    <row r="19" spans="1:1" x14ac:dyDescent="0.25">
      <c r="A19" s="5" t="s">
        <v>14</v>
      </c>
    </row>
    <row r="20" spans="1:1" x14ac:dyDescent="0.25">
      <c r="A20" s="5" t="s">
        <v>15</v>
      </c>
    </row>
    <row r="21" spans="1:1" x14ac:dyDescent="0.25">
      <c r="A21" s="5" t="s">
        <v>16</v>
      </c>
    </row>
    <row r="22" spans="1:1" x14ac:dyDescent="0.25">
      <c r="A22" s="5" t="s">
        <v>17</v>
      </c>
    </row>
    <row r="23" spans="1:1" x14ac:dyDescent="0.25">
      <c r="A23" s="5" t="s">
        <v>18</v>
      </c>
    </row>
    <row r="25" ht="22" customHeight="1" spans="1:1" s="1" customFormat="1" x14ac:dyDescent="0.25">
      <c r="A25" s="4" t="s">
        <v>19</v>
      </c>
    </row>
    <row r="27" spans="1:1" x14ac:dyDescent="0.25">
      <c r="A27" s="5" t="s">
        <v>20</v>
      </c>
    </row>
    <row r="28" spans="1:1" x14ac:dyDescent="0.25">
      <c r="A28" s="5" t="s">
        <v>21</v>
      </c>
    </row>
    <row r="29" spans="1:1" x14ac:dyDescent="0.25">
      <c r="A29" s="5" t="s">
        <v>22</v>
      </c>
    </row>
    <row r="31" ht="22" customHeight="1" spans="1:1" s="1" customFormat="1" x14ac:dyDescent="0.25">
      <c r="A31" s="4" t="s">
        <v>23</v>
      </c>
    </row>
    <row r="33" spans="1:1" x14ac:dyDescent="0.25">
      <c r="A33" s="5" t="s">
        <v>24</v>
      </c>
    </row>
    <row r="34" spans="1:1" x14ac:dyDescent="0.25">
      <c r="A34" s="5" t="s">
        <v>25</v>
      </c>
    </row>
    <row r="35" spans="1:1" x14ac:dyDescent="0.25">
      <c r="A35" s="5" t="s">
        <v>26</v>
      </c>
    </row>
    <row r="36" spans="1:1" x14ac:dyDescent="0.25">
      <c r="A36" s="5" t="s">
        <v>27</v>
      </c>
    </row>
    <row r="38" ht="22" customHeight="1" spans="1:1" s="1" customFormat="1" x14ac:dyDescent="0.25">
      <c r="A38" s="4" t="s">
        <v>28</v>
      </c>
    </row>
    <row r="40" spans="1:1" x14ac:dyDescent="0.25">
      <c r="A40" s="5" t="s">
        <v>29</v>
      </c>
    </row>
    <row r="41" spans="1:1" x14ac:dyDescent="0.25">
      <c r="A41" s="5" t="s">
        <v>30</v>
      </c>
    </row>
    <row r="42" spans="1:1" x14ac:dyDescent="0.25">
      <c r="A42" s="5" t="s">
        <v>31</v>
      </c>
    </row>
    <row r="44" ht="22" customHeight="1" spans="1:1" s="1" customFormat="1" x14ac:dyDescent="0.25">
      <c r="A44" s="4" t="s">
        <v>32</v>
      </c>
    </row>
    <row r="46" spans="1:1" x14ac:dyDescent="0.25">
      <c r="A46" s="5" t="s">
        <v>33</v>
      </c>
    </row>
    <row r="47" spans="1:1" x14ac:dyDescent="0.25">
      <c r="A47" s="5" t="s">
        <v>34</v>
      </c>
    </row>
    <row r="49" spans="1:1" x14ac:dyDescent="0.25">
      <c r="A49" s="6" t="s">
        <v>35</v>
      </c>
    </row>
    <row r="50" spans="1:1" x14ac:dyDescent="0.25">
      <c r="A50" s="6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000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4.43"/>
  <cols>
    <col min="1" max="8" width="18" style="1" customWidth="1"/>
    <col min="9" max="26" width="8.71" style="1" customWidth="1"/>
  </cols>
  <sheetData>
    <row r="1" ht="27.75" customHeight="1" spans="1:8" s="1" customFormat="1" x14ac:dyDescent="0.25">
      <c r="A1" s="7" t="s">
        <v>0</v>
      </c>
      <c r="B1" s="1"/>
      <c r="C1" s="1"/>
      <c r="D1" s="1"/>
      <c r="E1" s="1"/>
      <c r="F1" s="1"/>
      <c r="G1" s="1"/>
      <c r="H1" s="1"/>
    </row>
    <row r="2" ht="24" customHeight="1" spans="1:8" s="1" customFormat="1" x14ac:dyDescent="0.25">
      <c r="A2" s="8" t="s">
        <v>37</v>
      </c>
      <c r="B2" s="1"/>
      <c r="C2" s="1"/>
      <c r="D2" s="1"/>
      <c r="E2" s="1"/>
      <c r="F2" s="1"/>
      <c r="G2" s="1"/>
      <c r="H2" s="1"/>
    </row>
    <row r="3" ht="18" customHeight="1" spans="1:8" s="1" customFormat="1" x14ac:dyDescent="0.25">
      <c r="A3" s="9" t="s">
        <v>38</v>
      </c>
      <c r="B3" s="1"/>
      <c r="C3" s="1"/>
      <c r="D3" s="1"/>
      <c r="E3" s="1"/>
      <c r="F3" s="1"/>
      <c r="G3" s="1"/>
      <c r="H3" s="1"/>
    </row>
    <row r="5" ht="24" customHeight="1" spans="1:8" s="1" customFormat="1" x14ac:dyDescent="0.25">
      <c r="A5" s="10" t="s">
        <v>39</v>
      </c>
      <c r="B5" s="1"/>
      <c r="C5" s="1"/>
      <c r="D5" s="1"/>
      <c r="E5" s="1"/>
      <c r="F5" s="1"/>
      <c r="G5" s="1"/>
      <c r="H5" s="1"/>
    </row>
    <row r="6" spans="1:8" x14ac:dyDescent="0.25">
      <c r="A6" s="11" t="s">
        <v>40</v>
      </c>
      <c r="B6" s="12"/>
      <c r="C6" s="13" t="s">
        <v>41</v>
      </c>
      <c r="D6" s="12"/>
      <c r="E6" s="13" t="s">
        <v>42</v>
      </c>
      <c r="F6" s="12"/>
      <c r="G6" s="14" t="s">
        <v>43</v>
      </c>
      <c r="H6" s="12"/>
    </row>
    <row r="7" ht="31.5" customHeight="1" spans="1:8" s="1" customFormat="1" x14ac:dyDescent="0.25">
      <c r="A7" s="15">
        <f>DRE!O11</f>
      </c>
      <c r="B7" s="12"/>
      <c r="C7" s="16">
        <f>DRE!O21</f>
      </c>
      <c r="D7" s="12"/>
      <c r="E7" s="16">
        <f>DRE!O43</f>
      </c>
      <c r="F7" s="12"/>
      <c r="G7" s="17">
        <f>DRE!O45</f>
      </c>
      <c r="H7" s="12"/>
    </row>
    <row r="9" ht="24" customHeight="1" spans="1:8" s="1" customFormat="1" x14ac:dyDescent="0.25">
      <c r="A9" s="10" t="s">
        <v>44</v>
      </c>
      <c r="B9" s="1"/>
      <c r="C9" s="1"/>
      <c r="D9" s="1"/>
      <c r="E9" s="1"/>
      <c r="F9" s="1"/>
      <c r="G9" s="1"/>
      <c r="H9" s="1"/>
    </row>
    <row r="10" spans="1:8" x14ac:dyDescent="0.25">
      <c r="A10" s="11" t="s">
        <v>45</v>
      </c>
      <c r="B10" s="12"/>
      <c r="C10" s="13" t="s">
        <v>46</v>
      </c>
      <c r="D10" s="12"/>
      <c r="E10" s="11" t="s">
        <v>47</v>
      </c>
      <c r="F10" s="12"/>
      <c r="G10" s="11" t="s">
        <v>48</v>
      </c>
      <c r="H10" s="12"/>
    </row>
    <row r="11" ht="31.5" customHeight="1" spans="1:8" s="1" customFormat="1" x14ac:dyDescent="0.25">
      <c r="A11" s="18">
        <f>COUNTA(Vendas!B5:B200)</f>
      </c>
      <c r="B11" s="12"/>
      <c r="C11" s="16">
        <f>SUMIF(Vendas!K5:K200,"Pago",Vendas!I5:I200)</f>
      </c>
      <c r="D11" s="12"/>
      <c r="E11" s="15">
        <f>IFERROR(SUMIF(Vendas!K5:K200,"Pago",Vendas!I5:I200)/COUNTIF(Vendas!K5:K200,"Pago"),0)</f>
      </c>
      <c r="F11" s="12"/>
      <c r="G11" s="18">
        <f>COUNTA(Clientes!A5:A200)</f>
      </c>
      <c r="H11" s="12"/>
    </row>
    <row r="13" ht="24" customHeight="1" spans="1:8" s="1" customFormat="1" x14ac:dyDescent="0.25">
      <c r="A13" s="10" t="s">
        <v>49</v>
      </c>
      <c r="B13" s="1"/>
      <c r="C13" s="1"/>
      <c r="D13" s="1"/>
      <c r="E13" s="1"/>
      <c r="F13" s="1"/>
      <c r="G13" s="1"/>
      <c r="H13" s="1"/>
    </row>
    <row r="14" spans="1:8" x14ac:dyDescent="0.25">
      <c r="A14" s="11" t="s">
        <v>50</v>
      </c>
      <c r="B14" s="12"/>
      <c r="C14" s="11" t="s">
        <v>51</v>
      </c>
      <c r="D14" s="12"/>
      <c r="E14" s="14" t="s">
        <v>52</v>
      </c>
      <c r="F14" s="12"/>
      <c r="G14" s="19" t="s">
        <v>53</v>
      </c>
      <c r="H14" s="12"/>
    </row>
    <row r="15" ht="31.5" customHeight="1" spans="1:8" s="1" customFormat="1" x14ac:dyDescent="0.25">
      <c r="A15" s="18">
        <f>COUNTA(Produtos!A5:A200)</f>
      </c>
      <c r="B15" s="12"/>
      <c r="C15" s="15">
        <f>SUM(Produtos!J5:J200)</f>
      </c>
      <c r="D15" s="12"/>
      <c r="E15" s="20">
        <f>COUNTIF(Produtos!K5:K200,"REPOR")</f>
      </c>
      <c r="F15" s="12"/>
      <c r="G15" s="21">
        <f>COUNTIF(Produtos!K5:K200,"SEM ESTOQUE")</f>
      </c>
      <c r="H15" s="12"/>
    </row>
    <row r="17" ht="24" customHeight="1" spans="1:8" s="1" customFormat="1" x14ac:dyDescent="0.25">
      <c r="A17" s="10" t="s">
        <v>54</v>
      </c>
      <c r="B17" s="1"/>
      <c r="C17" s="1"/>
      <c r="D17" s="1"/>
      <c r="E17" s="1"/>
      <c r="F17" s="1"/>
      <c r="G17" s="1"/>
      <c r="H17" s="1"/>
    </row>
    <row r="18" ht="27.75" customHeight="1" spans="1:8" s="1" customFormat="1" x14ac:dyDescent="0.25">
      <c r="A18" s="22" t="s">
        <v>55</v>
      </c>
      <c r="B18" s="23"/>
      <c r="C18" s="23"/>
      <c r="D18" s="12"/>
      <c r="E18" s="22" t="s">
        <v>56</v>
      </c>
      <c r="F18" s="23"/>
      <c r="G18" s="23"/>
      <c r="H18" s="12"/>
    </row>
    <row r="19" ht="24" customHeight="1" spans="1:8" s="1" customFormat="1" x14ac:dyDescent="0.25">
      <c r="A19" s="24" t="s">
        <v>57</v>
      </c>
      <c r="B19" s="23"/>
      <c r="C19" s="23"/>
      <c r="D19" s="12"/>
      <c r="E19" s="25">
        <f>SUMIF('Contas a Receber'!H5:H200,"Pendente",'Contas a Receber'!E5:E200)-SUMIF('Contas a Receber'!H5:H200,"Pendente",'Contas a Receber'!F5:F200)</f>
      </c>
      <c r="F19" s="23"/>
      <c r="G19" s="23"/>
      <c r="H19" s="12"/>
    </row>
    <row r="20" ht="24" customHeight="1" spans="1:8" s="1" customFormat="1" x14ac:dyDescent="0.25">
      <c r="A20" s="26" t="s">
        <v>58</v>
      </c>
      <c r="B20" s="23"/>
      <c r="C20" s="23"/>
      <c r="D20" s="12"/>
      <c r="E20" s="27">
        <f>SUMIF('Contas a Receber'!H5:H200,"Recebido",'Contas a Receber'!F5:F200)</f>
      </c>
      <c r="F20" s="23"/>
      <c r="G20" s="23"/>
      <c r="H20" s="12"/>
    </row>
    <row r="21" ht="24" customHeight="1" spans="1:8" s="1" customFormat="1" x14ac:dyDescent="0.25">
      <c r="A21" s="28" t="s">
        <v>59</v>
      </c>
      <c r="B21" s="23"/>
      <c r="C21" s="23"/>
      <c r="D21" s="12"/>
      <c r="E21" s="29">
        <f>SUMIF('Contas a Pagar'!H5:H200,"Pendente",'Contas a Pagar'!E5:E200)-SUMIF('Contas a Pagar'!H5:H200,"Pendente",'Contas a Pagar'!F5:F200)</f>
      </c>
      <c r="F21" s="23"/>
      <c r="G21" s="23"/>
      <c r="H21" s="12"/>
    </row>
    <row r="22" ht="24" customHeight="1" spans="1:8" s="1" customFormat="1" x14ac:dyDescent="0.25">
      <c r="A22" s="26" t="s">
        <v>60</v>
      </c>
      <c r="B22" s="23"/>
      <c r="C22" s="23"/>
      <c r="D22" s="12"/>
      <c r="E22" s="27">
        <f>SUMIF('Contas a Pagar'!H5:H200,"Pago",'Contas a Pagar'!F5:F200)</f>
      </c>
      <c r="F22" s="23"/>
      <c r="G22" s="23"/>
      <c r="H22" s="12"/>
    </row>
    <row r="23" ht="24" customHeight="1" spans="1:8" s="1" customFormat="1" x14ac:dyDescent="0.25">
      <c r="A23" s="30" t="s">
        <v>61</v>
      </c>
      <c r="B23" s="23"/>
      <c r="C23" s="23"/>
      <c r="D23" s="12"/>
      <c r="E23" s="31">
        <f>(SUMIF('Contas a Receber'!H5:H200,"Pendente",'Contas a Receber'!E5:E200)-SUMIF('Contas a Receber'!H5:H200,"Pendente",'Contas a Receber'!F5:F200))-(SUMIF('Contas a Pagar'!H5:H200,"Pendente",'Contas a Pagar'!E5:E200)-SUMIF('Contas a Pagar'!H5:H200,"Pendente",'Contas a Pagar'!F5:F200))</f>
      </c>
      <c r="F23" s="23"/>
      <c r="G23" s="23"/>
      <c r="H23" s="12"/>
    </row>
    <row r="24" ht="15.75" customHeight="1" s="1" customFormat="1" x14ac:dyDescent="0.25"/>
    <row r="25" ht="15.75" customHeight="1" s="1" customFormat="1" x14ac:dyDescent="0.25"/>
    <row r="26" ht="15.75" customHeight="1" s="1" customFormat="1" x14ac:dyDescent="0.25"/>
    <row r="27" ht="15.75" customHeight="1" s="1" customFormat="1" x14ac:dyDescent="0.25"/>
    <row r="28" ht="15.75" customHeight="1" s="1" customFormat="1" x14ac:dyDescent="0.25"/>
    <row r="29" ht="15.75" customHeight="1" s="1" customFormat="1" x14ac:dyDescent="0.25"/>
    <row r="30" ht="15.75" customHeight="1" s="1" customFormat="1" x14ac:dyDescent="0.25"/>
    <row r="31" ht="15.75" customHeight="1" s="1" customFormat="1" x14ac:dyDescent="0.25"/>
    <row r="32" ht="15.75" customHeight="1" s="1" customFormat="1" x14ac:dyDescent="0.25"/>
    <row r="33" ht="15.75" customHeight="1" s="1" customFormat="1" x14ac:dyDescent="0.25"/>
    <row r="34" ht="15.75" customHeight="1" s="1" customFormat="1" x14ac:dyDescent="0.25"/>
    <row r="35" ht="15.75" customHeight="1" s="1" customFormat="1" x14ac:dyDescent="0.25"/>
    <row r="36" ht="15.75" customHeight="1" s="1" customFormat="1" x14ac:dyDescent="0.25"/>
    <row r="37" ht="15.75" customHeight="1" s="1" customFormat="1" x14ac:dyDescent="0.25"/>
    <row r="38" ht="15.75" customHeight="1" s="1" customFormat="1" x14ac:dyDescent="0.25"/>
    <row r="39" ht="15.75" customHeight="1" s="1" customFormat="1" x14ac:dyDescent="0.25"/>
    <row r="40" ht="15.75" customHeight="1" s="1" customFormat="1" x14ac:dyDescent="0.25"/>
    <row r="41" ht="15.75" customHeight="1" s="1" customFormat="1" x14ac:dyDescent="0.25"/>
    <row r="42" ht="15.75" customHeight="1" s="1" customFormat="1" x14ac:dyDescent="0.25"/>
    <row r="43" ht="15.75" customHeight="1" s="1" customFormat="1" x14ac:dyDescent="0.25"/>
    <row r="44" ht="15.75" customHeight="1" s="1" customFormat="1" x14ac:dyDescent="0.25"/>
    <row r="45" ht="15.75" customHeight="1" s="1" customFormat="1" x14ac:dyDescent="0.25"/>
    <row r="46" ht="15.75" customHeight="1" s="1" customFormat="1" x14ac:dyDescent="0.25"/>
    <row r="47" ht="15.75" customHeight="1" s="1" customFormat="1" x14ac:dyDescent="0.25"/>
    <row r="48" ht="15.75" customHeight="1" s="1" customFormat="1" x14ac:dyDescent="0.25"/>
    <row r="49" ht="15.75" customHeight="1" s="1" customFormat="1" x14ac:dyDescent="0.25"/>
    <row r="50" ht="15.75" customHeight="1" s="1" customFormat="1" x14ac:dyDescent="0.25"/>
    <row r="51" ht="15.75" customHeight="1" s="1" customFormat="1" x14ac:dyDescent="0.25"/>
    <row r="52" ht="15.75" customHeight="1" s="1" customFormat="1" x14ac:dyDescent="0.25"/>
    <row r="53" ht="15.75" customHeight="1" s="1" customFormat="1" x14ac:dyDescent="0.25"/>
    <row r="54" ht="15.75" customHeight="1" s="1" customFormat="1" x14ac:dyDescent="0.25"/>
    <row r="55" ht="15.75" customHeight="1" s="1" customFormat="1" x14ac:dyDescent="0.25"/>
    <row r="56" ht="15.75" customHeight="1" s="1" customFormat="1" x14ac:dyDescent="0.25"/>
    <row r="57" ht="15.75" customHeight="1" s="1" customFormat="1" x14ac:dyDescent="0.25"/>
    <row r="58" ht="15.75" customHeight="1" s="1" customFormat="1" x14ac:dyDescent="0.25"/>
    <row r="59" ht="15.75" customHeight="1" s="1" customFormat="1" x14ac:dyDescent="0.25"/>
    <row r="60" ht="15.75" customHeight="1" s="1" customFormat="1" x14ac:dyDescent="0.25"/>
    <row r="61" ht="15.75" customHeight="1" s="1" customFormat="1" x14ac:dyDescent="0.25"/>
    <row r="62" ht="15.75" customHeight="1" s="1" customFormat="1" x14ac:dyDescent="0.25"/>
    <row r="63" ht="15.75" customHeight="1" s="1" customFormat="1" x14ac:dyDescent="0.25"/>
    <row r="64" ht="15.75" customHeight="1" s="1" customFormat="1" x14ac:dyDescent="0.25"/>
    <row r="65" ht="15.75" customHeight="1" s="1" customFormat="1" x14ac:dyDescent="0.25"/>
    <row r="66" ht="15.75" customHeight="1" s="1" customFormat="1" x14ac:dyDescent="0.25"/>
    <row r="67" ht="15.75" customHeight="1" s="1" customFormat="1" x14ac:dyDescent="0.25"/>
    <row r="68" ht="15.75" customHeight="1" s="1" customFormat="1" x14ac:dyDescent="0.25"/>
    <row r="69" ht="15.75" customHeight="1" s="1" customFormat="1" x14ac:dyDescent="0.25"/>
    <row r="70" ht="15.75" customHeight="1" s="1" customFormat="1" x14ac:dyDescent="0.25"/>
    <row r="71" ht="15.75" customHeight="1" s="1" customFormat="1" x14ac:dyDescent="0.25"/>
    <row r="72" ht="15.75" customHeight="1" s="1" customFormat="1" x14ac:dyDescent="0.25"/>
    <row r="73" ht="15.75" customHeight="1" s="1" customFormat="1" x14ac:dyDescent="0.25"/>
    <row r="74" ht="15.75" customHeight="1" s="1" customFormat="1" x14ac:dyDescent="0.25"/>
    <row r="75" ht="15.75" customHeight="1" s="1" customFormat="1" x14ac:dyDescent="0.25"/>
    <row r="76" ht="15.75" customHeight="1" s="1" customFormat="1" x14ac:dyDescent="0.25"/>
    <row r="77" ht="15.75" customHeight="1" s="1" customFormat="1" x14ac:dyDescent="0.25"/>
    <row r="78" ht="15.75" customHeight="1" s="1" customFormat="1" x14ac:dyDescent="0.25"/>
    <row r="79" ht="15.75" customHeight="1" s="1" customFormat="1" x14ac:dyDescent="0.25"/>
    <row r="80" ht="15.75" customHeight="1" s="1" customFormat="1" x14ac:dyDescent="0.25"/>
    <row r="81" ht="15.75" customHeight="1" s="1" customFormat="1" x14ac:dyDescent="0.25"/>
    <row r="82" ht="15.75" customHeight="1" s="1" customFormat="1" x14ac:dyDescent="0.25"/>
    <row r="83" ht="15.75" customHeight="1" s="1" customFormat="1" x14ac:dyDescent="0.25"/>
    <row r="84" ht="15.75" customHeight="1" s="1" customFormat="1" x14ac:dyDescent="0.25"/>
    <row r="85" ht="15.75" customHeight="1" s="1" customFormat="1" x14ac:dyDescent="0.25"/>
    <row r="86" ht="15.75" customHeight="1" s="1" customFormat="1" x14ac:dyDescent="0.25"/>
    <row r="87" ht="15.75" customHeight="1" s="1" customFormat="1" x14ac:dyDescent="0.25"/>
    <row r="88" ht="15.75" customHeight="1" s="1" customFormat="1" x14ac:dyDescent="0.25"/>
    <row r="89" ht="15.75" customHeight="1" s="1" customFormat="1" x14ac:dyDescent="0.25"/>
    <row r="90" ht="15.75" customHeight="1" s="1" customFormat="1" x14ac:dyDescent="0.25"/>
    <row r="91" ht="15.75" customHeight="1" s="1" customFormat="1" x14ac:dyDescent="0.25"/>
    <row r="92" ht="15.75" customHeight="1" s="1" customFormat="1" x14ac:dyDescent="0.25"/>
    <row r="93" ht="15.75" customHeight="1" s="1" customFormat="1" x14ac:dyDescent="0.25"/>
    <row r="94" ht="15.75" customHeight="1" s="1" customFormat="1" x14ac:dyDescent="0.25"/>
    <row r="95" ht="15.75" customHeight="1" s="1" customFormat="1" x14ac:dyDescent="0.25"/>
    <row r="96" ht="15.75" customHeight="1" s="1" customFormat="1" x14ac:dyDescent="0.25"/>
    <row r="97" ht="15.75" customHeight="1" s="1" customFormat="1" x14ac:dyDescent="0.25"/>
    <row r="98" ht="15.75" customHeight="1" s="1" customFormat="1" x14ac:dyDescent="0.25"/>
    <row r="99" ht="15.75" customHeight="1" s="1" customFormat="1" x14ac:dyDescent="0.25"/>
    <row r="100" ht="15.75" customHeight="1" s="1" customFormat="1" x14ac:dyDescent="0.25"/>
    <row r="101" ht="15.75" customHeight="1" s="1" customFormat="1" x14ac:dyDescent="0.25"/>
    <row r="102" ht="15.75" customHeight="1" s="1" customFormat="1" x14ac:dyDescent="0.25"/>
    <row r="103" ht="15.75" customHeight="1" s="1" customFormat="1" x14ac:dyDescent="0.25"/>
    <row r="104" ht="15.75" customHeight="1" s="1" customFormat="1" x14ac:dyDescent="0.25"/>
    <row r="105" ht="15.75" customHeight="1" s="1" customFormat="1" x14ac:dyDescent="0.25"/>
    <row r="106" ht="15.75" customHeight="1" s="1" customFormat="1" x14ac:dyDescent="0.25"/>
    <row r="107" ht="15.75" customHeight="1" s="1" customFormat="1" x14ac:dyDescent="0.25"/>
    <row r="108" ht="15.75" customHeight="1" s="1" customFormat="1" x14ac:dyDescent="0.25"/>
    <row r="109" ht="15.75" customHeight="1" s="1" customFormat="1" x14ac:dyDescent="0.25"/>
    <row r="110" ht="15.75" customHeight="1" s="1" customFormat="1" x14ac:dyDescent="0.25"/>
    <row r="111" ht="15.75" customHeight="1" s="1" customFormat="1" x14ac:dyDescent="0.25"/>
    <row r="112" ht="15.75" customHeight="1" s="1" customFormat="1" x14ac:dyDescent="0.25"/>
    <row r="113" ht="15.75" customHeight="1" s="1" customFormat="1" x14ac:dyDescent="0.25"/>
    <row r="114" ht="15.75" customHeight="1" s="1" customFormat="1" x14ac:dyDescent="0.25"/>
    <row r="115" ht="15.75" customHeight="1" s="1" customFormat="1" x14ac:dyDescent="0.25"/>
    <row r="116" ht="15.75" customHeight="1" s="1" customFormat="1" x14ac:dyDescent="0.25"/>
    <row r="117" ht="15.75" customHeight="1" s="1" customFormat="1" x14ac:dyDescent="0.25"/>
    <row r="118" ht="15.75" customHeight="1" s="1" customFormat="1" x14ac:dyDescent="0.25"/>
    <row r="119" ht="15.75" customHeight="1" s="1" customFormat="1" x14ac:dyDescent="0.25"/>
    <row r="120" ht="15.75" customHeight="1" s="1" customFormat="1" x14ac:dyDescent="0.25"/>
    <row r="121" ht="15.75" customHeight="1" s="1" customFormat="1" x14ac:dyDescent="0.25"/>
    <row r="122" ht="15.75" customHeight="1" s="1" customFormat="1" x14ac:dyDescent="0.25"/>
    <row r="123" ht="15.75" customHeight="1" s="1" customFormat="1" x14ac:dyDescent="0.25"/>
    <row r="124" ht="15.75" customHeight="1" s="1" customFormat="1" x14ac:dyDescent="0.25"/>
    <row r="125" ht="15.75" customHeight="1" s="1" customFormat="1" x14ac:dyDescent="0.25"/>
    <row r="126" ht="15.75" customHeight="1" s="1" customFormat="1" x14ac:dyDescent="0.25"/>
    <row r="127" ht="15.75" customHeight="1" s="1" customFormat="1" x14ac:dyDescent="0.25"/>
    <row r="128" ht="15.75" customHeight="1" s="1" customFormat="1" x14ac:dyDescent="0.25"/>
    <row r="129" ht="15.75" customHeight="1" s="1" customFormat="1" x14ac:dyDescent="0.25"/>
    <row r="130" ht="15.75" customHeight="1" s="1" customFormat="1" x14ac:dyDescent="0.25"/>
    <row r="131" ht="15.75" customHeight="1" s="1" customFormat="1" x14ac:dyDescent="0.25"/>
    <row r="132" ht="15.75" customHeight="1" s="1" customFormat="1" x14ac:dyDescent="0.25"/>
    <row r="133" ht="15.75" customHeight="1" s="1" customFormat="1" x14ac:dyDescent="0.25"/>
    <row r="134" ht="15.75" customHeight="1" s="1" customFormat="1" x14ac:dyDescent="0.25"/>
    <row r="135" ht="15.75" customHeight="1" s="1" customFormat="1" x14ac:dyDescent="0.25"/>
    <row r="136" ht="15.75" customHeight="1" s="1" customFormat="1" x14ac:dyDescent="0.25"/>
    <row r="137" ht="15.75" customHeight="1" s="1" customFormat="1" x14ac:dyDescent="0.25"/>
    <row r="138" ht="15.75" customHeight="1" s="1" customFormat="1" x14ac:dyDescent="0.25"/>
    <row r="139" ht="15.75" customHeight="1" s="1" customFormat="1" x14ac:dyDescent="0.25"/>
    <row r="140" ht="15.75" customHeight="1" s="1" customFormat="1" x14ac:dyDescent="0.25"/>
    <row r="141" ht="15.75" customHeight="1" s="1" customFormat="1" x14ac:dyDescent="0.25"/>
    <row r="142" ht="15.75" customHeight="1" s="1" customFormat="1" x14ac:dyDescent="0.25"/>
    <row r="143" ht="15.75" customHeight="1" s="1" customFormat="1" x14ac:dyDescent="0.25"/>
    <row r="144" ht="15.75" customHeight="1" s="1" customFormat="1" x14ac:dyDescent="0.25"/>
    <row r="145" ht="15.75" customHeight="1" s="1" customFormat="1" x14ac:dyDescent="0.25"/>
    <row r="146" ht="15.75" customHeight="1" s="1" customFormat="1" x14ac:dyDescent="0.25"/>
    <row r="147" ht="15.75" customHeight="1" s="1" customFormat="1" x14ac:dyDescent="0.25"/>
    <row r="148" ht="15.75" customHeight="1" s="1" customFormat="1" x14ac:dyDescent="0.25"/>
    <row r="149" ht="15.75" customHeight="1" s="1" customFormat="1" x14ac:dyDescent="0.25"/>
    <row r="150" ht="15.75" customHeight="1" s="1" customFormat="1" x14ac:dyDescent="0.25"/>
    <row r="151" ht="15.75" customHeight="1" s="1" customFormat="1" x14ac:dyDescent="0.25"/>
    <row r="152" ht="15.75" customHeight="1" s="1" customFormat="1" x14ac:dyDescent="0.25"/>
    <row r="153" ht="15.75" customHeight="1" s="1" customFormat="1" x14ac:dyDescent="0.25"/>
    <row r="154" ht="15.75" customHeight="1" s="1" customFormat="1" x14ac:dyDescent="0.25"/>
    <row r="155" ht="15.75" customHeight="1" s="1" customFormat="1" x14ac:dyDescent="0.25"/>
    <row r="156" ht="15.75" customHeight="1" s="1" customFormat="1" x14ac:dyDescent="0.25"/>
    <row r="157" ht="15.75" customHeight="1" s="1" customFormat="1" x14ac:dyDescent="0.25"/>
    <row r="158" ht="15.75" customHeight="1" s="1" customFormat="1" x14ac:dyDescent="0.25"/>
    <row r="159" ht="15.75" customHeight="1" s="1" customFormat="1" x14ac:dyDescent="0.25"/>
    <row r="160" ht="15.75" customHeight="1" s="1" customFormat="1" x14ac:dyDescent="0.25"/>
    <row r="161" ht="15.75" customHeight="1" s="1" customFormat="1" x14ac:dyDescent="0.25"/>
    <row r="162" ht="15.75" customHeight="1" s="1" customFormat="1" x14ac:dyDescent="0.25"/>
    <row r="163" ht="15.75" customHeight="1" s="1" customFormat="1" x14ac:dyDescent="0.25"/>
    <row r="164" ht="15.75" customHeight="1" s="1" customFormat="1" x14ac:dyDescent="0.25"/>
    <row r="165" ht="15.75" customHeight="1" s="1" customFormat="1" x14ac:dyDescent="0.25"/>
    <row r="166" ht="15.75" customHeight="1" s="1" customFormat="1" x14ac:dyDescent="0.25"/>
    <row r="167" ht="15.75" customHeight="1" s="1" customFormat="1" x14ac:dyDescent="0.25"/>
    <row r="168" ht="15.75" customHeight="1" s="1" customFormat="1" x14ac:dyDescent="0.25"/>
    <row r="169" ht="15.75" customHeight="1" s="1" customFormat="1" x14ac:dyDescent="0.25"/>
    <row r="170" ht="15.75" customHeight="1" s="1" customFormat="1" x14ac:dyDescent="0.25"/>
    <row r="171" ht="15.75" customHeight="1" s="1" customFormat="1" x14ac:dyDescent="0.25"/>
    <row r="172" ht="15.75" customHeight="1" s="1" customFormat="1" x14ac:dyDescent="0.25"/>
    <row r="173" ht="15.75" customHeight="1" s="1" customFormat="1" x14ac:dyDescent="0.25"/>
    <row r="174" ht="15.75" customHeight="1" s="1" customFormat="1" x14ac:dyDescent="0.25"/>
    <row r="175" ht="15.75" customHeight="1" s="1" customFormat="1" x14ac:dyDescent="0.25"/>
    <row r="176" ht="15.75" customHeight="1" s="1" customFormat="1" x14ac:dyDescent="0.25"/>
    <row r="177" ht="15.75" customHeight="1" s="1" customFormat="1" x14ac:dyDescent="0.25"/>
    <row r="178" ht="15.75" customHeight="1" s="1" customFormat="1" x14ac:dyDescent="0.25"/>
    <row r="179" ht="15.75" customHeight="1" s="1" customFormat="1" x14ac:dyDescent="0.25"/>
    <row r="180" ht="15.75" customHeight="1" s="1" customFormat="1" x14ac:dyDescent="0.25"/>
    <row r="181" ht="15.75" customHeight="1" s="1" customFormat="1" x14ac:dyDescent="0.25"/>
    <row r="182" ht="15.75" customHeight="1" s="1" customFormat="1" x14ac:dyDescent="0.25"/>
    <row r="183" ht="15.75" customHeight="1" s="1" customFormat="1" x14ac:dyDescent="0.25"/>
    <row r="184" ht="15.75" customHeight="1" s="1" customFormat="1" x14ac:dyDescent="0.25"/>
    <row r="185" ht="15.75" customHeight="1" s="1" customFormat="1" x14ac:dyDescent="0.25"/>
    <row r="186" ht="15.75" customHeight="1" s="1" customFormat="1" x14ac:dyDescent="0.25"/>
    <row r="187" ht="15.75" customHeight="1" s="1" customFormat="1" x14ac:dyDescent="0.25"/>
    <row r="188" ht="15.75" customHeight="1" s="1" customFormat="1" x14ac:dyDescent="0.25"/>
    <row r="189" ht="15.75" customHeight="1" s="1" customFormat="1" x14ac:dyDescent="0.25"/>
    <row r="190" ht="15.75" customHeight="1" s="1" customFormat="1" x14ac:dyDescent="0.25"/>
    <row r="191" ht="15.75" customHeight="1" s="1" customFormat="1" x14ac:dyDescent="0.25"/>
    <row r="192" ht="15.75" customHeight="1" s="1" customFormat="1" x14ac:dyDescent="0.25"/>
    <row r="193" ht="15.75" customHeight="1" s="1" customFormat="1" x14ac:dyDescent="0.25"/>
    <row r="194" ht="15.75" customHeight="1" s="1" customFormat="1" x14ac:dyDescent="0.25"/>
    <row r="195" ht="15.75" customHeight="1" s="1" customFormat="1" x14ac:dyDescent="0.25"/>
    <row r="196" ht="15.75" customHeight="1" s="1" customFormat="1" x14ac:dyDescent="0.25"/>
    <row r="197" ht="15.75" customHeight="1" s="1" customFormat="1" x14ac:dyDescent="0.25"/>
    <row r="198" ht="15.75" customHeight="1" s="1" customFormat="1" x14ac:dyDescent="0.25"/>
    <row r="199" ht="15.75" customHeight="1" s="1" customFormat="1" x14ac:dyDescent="0.25"/>
    <row r="200" ht="15.75" customHeight="1" s="1" customFormat="1" x14ac:dyDescent="0.25"/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43">
    <mergeCell ref="A1:H1"/>
    <mergeCell ref="A2:H2"/>
    <mergeCell ref="A3:H3"/>
    <mergeCell ref="A5:H5"/>
    <mergeCell ref="A6:B6"/>
    <mergeCell ref="C6:D6"/>
    <mergeCell ref="E6:F6"/>
    <mergeCell ref="G6:H6"/>
    <mergeCell ref="A7:B7"/>
    <mergeCell ref="C7:D7"/>
    <mergeCell ref="E7:F7"/>
    <mergeCell ref="G7:H7"/>
    <mergeCell ref="A9:H9"/>
    <mergeCell ref="A10:B10"/>
    <mergeCell ref="C10:D10"/>
    <mergeCell ref="E10:F10"/>
    <mergeCell ref="G10:H10"/>
    <mergeCell ref="A11:B11"/>
    <mergeCell ref="C11:D11"/>
    <mergeCell ref="E11:F11"/>
    <mergeCell ref="G11:H11"/>
    <mergeCell ref="A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3"/>
    <mergeCell ref="E23:H2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2" style="1" customWidth="1"/>
    <col min="2" max="2" width="30" style="1" customWidth="1"/>
    <col min="3" max="3" width="22" style="1" customWidth="1"/>
    <col min="4" max="4" width="28" style="1" customWidth="1"/>
    <col min="5" max="6" width="18" style="1" customWidth="1"/>
    <col min="7" max="7" width="8" style="1" customWidth="1"/>
    <col min="8" max="8" width="18" style="1" customWidth="1"/>
    <col min="9" max="9" width="14" style="1" customWidth="1"/>
    <col min="10" max="10" width="28" style="1" customWidth="1"/>
    <col min="11" max="26" width="8.71" style="1" customWidth="1"/>
  </cols>
  <sheetData>
    <row r="1" ht="27.75" customHeight="1" spans="1:10" s="1" customForma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s="1" customFormat="1" x14ac:dyDescent="0.25">
      <c r="A2" s="8" t="s">
        <v>62</v>
      </c>
      <c r="B2" s="1"/>
      <c r="C2" s="1"/>
      <c r="D2" s="1"/>
      <c r="E2" s="1"/>
      <c r="F2" s="1"/>
      <c r="G2" s="1"/>
      <c r="H2" s="1"/>
      <c r="I2" s="1"/>
      <c r="J2" s="1"/>
    </row>
    <row r="3" ht="18" customHeight="1" spans="1:10" s="1" customFormat="1" x14ac:dyDescent="0.25">
      <c r="A3" s="9" t="s">
        <v>63</v>
      </c>
      <c r="B3" s="1"/>
      <c r="C3" s="1"/>
      <c r="D3" s="1"/>
      <c r="E3" s="1"/>
      <c r="F3" s="1"/>
      <c r="G3" s="1"/>
      <c r="H3" s="1"/>
      <c r="I3" s="1"/>
      <c r="J3" s="1"/>
    </row>
    <row r="4" ht="31.5" customHeight="1" spans="1:10" s="1" customFormat="1" x14ac:dyDescent="0.25">
      <c r="A4" s="22" t="s">
        <v>64</v>
      </c>
      <c r="B4" s="22" t="s">
        <v>65</v>
      </c>
      <c r="C4" s="22" t="s">
        <v>66</v>
      </c>
      <c r="D4" s="22" t="s">
        <v>67</v>
      </c>
      <c r="E4" s="22" t="s">
        <v>68</v>
      </c>
      <c r="F4" s="22" t="s">
        <v>69</v>
      </c>
      <c r="G4" s="22" t="s">
        <v>70</v>
      </c>
      <c r="H4" s="22" t="s">
        <v>71</v>
      </c>
      <c r="I4" s="22" t="s">
        <v>72</v>
      </c>
      <c r="J4" s="22" t="s">
        <v>73</v>
      </c>
    </row>
    <row r="5" spans="1:10" x14ac:dyDescent="0.25">
      <c r="A5" s="32" t="s">
        <v>74</v>
      </c>
      <c r="B5" s="33" t="s">
        <v>75</v>
      </c>
      <c r="C5" s="33" t="s">
        <v>76</v>
      </c>
      <c r="D5" s="33" t="s">
        <v>77</v>
      </c>
      <c r="E5" s="33" t="s">
        <v>78</v>
      </c>
      <c r="F5" s="33" t="s">
        <v>79</v>
      </c>
      <c r="G5" s="33" t="s">
        <v>80</v>
      </c>
      <c r="H5" s="33" t="s">
        <v>81</v>
      </c>
      <c r="I5" s="34">
        <v>46156.625</v>
      </c>
      <c r="J5" s="33"/>
    </row>
    <row r="6" spans="1:10" x14ac:dyDescent="0.25">
      <c r="A6" s="35" t="s">
        <v>82</v>
      </c>
      <c r="B6" s="36" t="s">
        <v>83</v>
      </c>
      <c r="C6" s="36" t="s">
        <v>84</v>
      </c>
      <c r="D6" s="36" t="s">
        <v>85</v>
      </c>
      <c r="E6" s="36" t="s">
        <v>86</v>
      </c>
      <c r="F6" s="36" t="s">
        <v>87</v>
      </c>
      <c r="G6" s="36" t="s">
        <v>88</v>
      </c>
      <c r="H6" s="36" t="s">
        <v>89</v>
      </c>
      <c r="I6" s="37">
        <v>46156.625</v>
      </c>
      <c r="J6" s="36" t="s">
        <v>90</v>
      </c>
    </row>
    <row r="7" spans="1:10" x14ac:dyDescent="0.25">
      <c r="A7" s="32"/>
      <c r="B7" s="33"/>
      <c r="C7" s="33"/>
      <c r="D7" s="33"/>
      <c r="E7" s="33"/>
      <c r="F7" s="33"/>
      <c r="G7" s="33"/>
      <c r="H7" s="33"/>
      <c r="I7" s="34"/>
      <c r="J7" s="33"/>
    </row>
    <row r="8" spans="1:10" x14ac:dyDescent="0.25">
      <c r="A8" s="35"/>
      <c r="B8" s="36"/>
      <c r="C8" s="36"/>
      <c r="D8" s="36"/>
      <c r="E8" s="36"/>
      <c r="F8" s="36"/>
      <c r="G8" s="36"/>
      <c r="H8" s="36"/>
      <c r="I8" s="37"/>
      <c r="J8" s="36"/>
    </row>
    <row r="9" spans="1:10" x14ac:dyDescent="0.25">
      <c r="A9" s="32"/>
      <c r="B9" s="33"/>
      <c r="C9" s="33"/>
      <c r="D9" s="33"/>
      <c r="E9" s="33"/>
      <c r="F9" s="33"/>
      <c r="G9" s="33"/>
      <c r="H9" s="33"/>
      <c r="I9" s="34"/>
      <c r="J9" s="33"/>
    </row>
    <row r="10" spans="1:10" x14ac:dyDescent="0.25">
      <c r="A10" s="35"/>
      <c r="B10" s="36"/>
      <c r="C10" s="36"/>
      <c r="D10" s="36"/>
      <c r="E10" s="36"/>
      <c r="F10" s="36"/>
      <c r="G10" s="36"/>
      <c r="H10" s="36"/>
      <c r="I10" s="37"/>
      <c r="J10" s="36"/>
    </row>
    <row r="11" spans="1:10" x14ac:dyDescent="0.25">
      <c r="A11" s="32"/>
      <c r="B11" s="33"/>
      <c r="C11" s="33"/>
      <c r="D11" s="33"/>
      <c r="E11" s="33"/>
      <c r="F11" s="33"/>
      <c r="G11" s="33"/>
      <c r="H11" s="33"/>
      <c r="I11" s="34"/>
      <c r="J11" s="33"/>
    </row>
    <row r="12" spans="1:10" x14ac:dyDescent="0.25">
      <c r="A12" s="35"/>
      <c r="B12" s="36"/>
      <c r="C12" s="36"/>
      <c r="D12" s="36"/>
      <c r="E12" s="36"/>
      <c r="F12" s="36"/>
      <c r="G12" s="36"/>
      <c r="H12" s="36"/>
      <c r="I12" s="37"/>
      <c r="J12" s="36"/>
    </row>
    <row r="13" spans="1:10" x14ac:dyDescent="0.25">
      <c r="A13" s="32"/>
      <c r="B13" s="33"/>
      <c r="C13" s="33"/>
      <c r="D13" s="33"/>
      <c r="E13" s="33"/>
      <c r="F13" s="33"/>
      <c r="G13" s="33"/>
      <c r="H13" s="33"/>
      <c r="I13" s="34"/>
      <c r="J13" s="33"/>
    </row>
    <row r="14" spans="1:10" x14ac:dyDescent="0.25">
      <c r="A14" s="35"/>
      <c r="B14" s="36"/>
      <c r="C14" s="36"/>
      <c r="D14" s="36"/>
      <c r="E14" s="36"/>
      <c r="F14" s="36"/>
      <c r="G14" s="36"/>
      <c r="H14" s="36"/>
      <c r="I14" s="37"/>
      <c r="J14" s="36"/>
    </row>
    <row r="15" spans="1:10" x14ac:dyDescent="0.25">
      <c r="A15" s="32"/>
      <c r="B15" s="33"/>
      <c r="C15" s="33"/>
      <c r="D15" s="33"/>
      <c r="E15" s="33"/>
      <c r="F15" s="33"/>
      <c r="G15" s="33"/>
      <c r="H15" s="33"/>
      <c r="I15" s="34"/>
      <c r="J15" s="33"/>
    </row>
    <row r="16" spans="1:10" x14ac:dyDescent="0.25">
      <c r="A16" s="35"/>
      <c r="B16" s="36"/>
      <c r="C16" s="36"/>
      <c r="D16" s="36"/>
      <c r="E16" s="36"/>
      <c r="F16" s="36"/>
      <c r="G16" s="36"/>
      <c r="H16" s="36"/>
      <c r="I16" s="37"/>
      <c r="J16" s="36"/>
    </row>
    <row r="17" spans="1:10" x14ac:dyDescent="0.25">
      <c r="A17" s="32"/>
      <c r="B17" s="33"/>
      <c r="C17" s="33"/>
      <c r="D17" s="33"/>
      <c r="E17" s="33"/>
      <c r="F17" s="33"/>
      <c r="G17" s="33"/>
      <c r="H17" s="33"/>
      <c r="I17" s="34"/>
      <c r="J17" s="33"/>
    </row>
    <row r="18" spans="1:10" x14ac:dyDescent="0.25">
      <c r="A18" s="35"/>
      <c r="B18" s="36"/>
      <c r="C18" s="36"/>
      <c r="D18" s="36"/>
      <c r="E18" s="36"/>
      <c r="F18" s="36"/>
      <c r="G18" s="36"/>
      <c r="H18" s="36"/>
      <c r="I18" s="37"/>
      <c r="J18" s="36"/>
    </row>
    <row r="19" spans="1:10" x14ac:dyDescent="0.25">
      <c r="A19" s="32"/>
      <c r="B19" s="33"/>
      <c r="C19" s="33"/>
      <c r="D19" s="33"/>
      <c r="E19" s="33"/>
      <c r="F19" s="33"/>
      <c r="G19" s="33"/>
      <c r="H19" s="33"/>
      <c r="I19" s="34"/>
      <c r="J19" s="33"/>
    </row>
    <row r="20" spans="1:10" x14ac:dyDescent="0.25">
      <c r="A20" s="35"/>
      <c r="B20" s="36"/>
      <c r="C20" s="36"/>
      <c r="D20" s="36"/>
      <c r="E20" s="36"/>
      <c r="F20" s="36"/>
      <c r="G20" s="36"/>
      <c r="H20" s="36"/>
      <c r="I20" s="37"/>
      <c r="J20" s="36"/>
    </row>
    <row r="21" ht="15.75" customHeight="1" spans="1:10" s="1" customFormat="1" x14ac:dyDescent="0.25">
      <c r="A21" s="32"/>
      <c r="B21" s="33"/>
      <c r="C21" s="33"/>
      <c r="D21" s="33"/>
      <c r="E21" s="33"/>
      <c r="F21" s="33"/>
      <c r="G21" s="33"/>
      <c r="H21" s="33"/>
      <c r="I21" s="34"/>
      <c r="J21" s="33"/>
    </row>
    <row r="22" ht="15.75" customHeight="1" spans="1:10" s="1" customFormat="1" x14ac:dyDescent="0.25">
      <c r="A22" s="35"/>
      <c r="B22" s="36"/>
      <c r="C22" s="36"/>
      <c r="D22" s="36"/>
      <c r="E22" s="36"/>
      <c r="F22" s="36"/>
      <c r="G22" s="36"/>
      <c r="H22" s="36"/>
      <c r="I22" s="37"/>
      <c r="J22" s="36"/>
    </row>
    <row r="23" ht="15.75" customHeight="1" spans="1:10" s="1" customFormat="1" x14ac:dyDescent="0.25">
      <c r="A23" s="32"/>
      <c r="B23" s="33"/>
      <c r="C23" s="33"/>
      <c r="D23" s="33"/>
      <c r="E23" s="33"/>
      <c r="F23" s="33"/>
      <c r="G23" s="33"/>
      <c r="H23" s="33"/>
      <c r="I23" s="34"/>
      <c r="J23" s="33"/>
    </row>
    <row r="24" ht="15.75" customHeight="1" spans="1:10" s="1" customFormat="1" x14ac:dyDescent="0.25">
      <c r="A24" s="35"/>
      <c r="B24" s="36"/>
      <c r="C24" s="36"/>
      <c r="D24" s="36"/>
      <c r="E24" s="36"/>
      <c r="F24" s="36"/>
      <c r="G24" s="36"/>
      <c r="H24" s="36"/>
      <c r="I24" s="37"/>
      <c r="J24" s="36"/>
    </row>
    <row r="25" ht="15.75" customHeight="1" spans="1:10" s="1" customFormat="1" x14ac:dyDescent="0.25">
      <c r="A25" s="32"/>
      <c r="B25" s="33"/>
      <c r="C25" s="33"/>
      <c r="D25" s="33"/>
      <c r="E25" s="33"/>
      <c r="F25" s="33"/>
      <c r="G25" s="33"/>
      <c r="H25" s="33"/>
      <c r="I25" s="34"/>
      <c r="J25" s="33"/>
    </row>
    <row r="26" ht="15.75" customHeight="1" spans="1:10" s="1" customFormat="1" x14ac:dyDescent="0.25">
      <c r="A26" s="35"/>
      <c r="B26" s="36"/>
      <c r="C26" s="36"/>
      <c r="D26" s="36"/>
      <c r="E26" s="36"/>
      <c r="F26" s="36"/>
      <c r="G26" s="36"/>
      <c r="H26" s="36"/>
      <c r="I26" s="37"/>
      <c r="J26" s="36"/>
    </row>
    <row r="27" ht="15.75" customHeight="1" spans="1:10" s="1" customFormat="1" x14ac:dyDescent="0.25">
      <c r="A27" s="32"/>
      <c r="B27" s="33"/>
      <c r="C27" s="33"/>
      <c r="D27" s="33"/>
      <c r="E27" s="33"/>
      <c r="F27" s="33"/>
      <c r="G27" s="33"/>
      <c r="H27" s="33"/>
      <c r="I27" s="34"/>
      <c r="J27" s="33"/>
    </row>
    <row r="28" ht="15.75" customHeight="1" spans="1:10" s="1" customFormat="1" x14ac:dyDescent="0.25">
      <c r="A28" s="35"/>
      <c r="B28" s="36"/>
      <c r="C28" s="36"/>
      <c r="D28" s="36"/>
      <c r="E28" s="36"/>
      <c r="F28" s="36"/>
      <c r="G28" s="36"/>
      <c r="H28" s="36"/>
      <c r="I28" s="37"/>
      <c r="J28" s="36"/>
    </row>
    <row r="29" ht="15.75" customHeight="1" spans="1:10" s="1" customFormat="1" x14ac:dyDescent="0.25">
      <c r="A29" s="32"/>
      <c r="B29" s="33"/>
      <c r="C29" s="33"/>
      <c r="D29" s="33"/>
      <c r="E29" s="33"/>
      <c r="F29" s="33"/>
      <c r="G29" s="33"/>
      <c r="H29" s="33"/>
      <c r="I29" s="34"/>
      <c r="J29" s="33"/>
    </row>
    <row r="30" ht="15.75" customHeight="1" spans="1:10" s="1" customFormat="1" x14ac:dyDescent="0.25">
      <c r="A30" s="35"/>
      <c r="B30" s="36"/>
      <c r="C30" s="36"/>
      <c r="D30" s="36"/>
      <c r="E30" s="36"/>
      <c r="F30" s="36"/>
      <c r="G30" s="36"/>
      <c r="H30" s="36"/>
      <c r="I30" s="37"/>
      <c r="J30" s="36"/>
    </row>
    <row r="31" ht="15.75" customHeight="1" spans="1:10" s="1" customFormat="1" x14ac:dyDescent="0.25">
      <c r="A31" s="32"/>
      <c r="B31" s="33"/>
      <c r="C31" s="33"/>
      <c r="D31" s="33"/>
      <c r="E31" s="33"/>
      <c r="F31" s="33"/>
      <c r="G31" s="33"/>
      <c r="H31" s="33"/>
      <c r="I31" s="34"/>
      <c r="J31" s="33"/>
    </row>
    <row r="32" ht="15.75" customHeight="1" spans="1:10" s="1" customFormat="1" x14ac:dyDescent="0.25">
      <c r="A32" s="35"/>
      <c r="B32" s="36"/>
      <c r="C32" s="36"/>
      <c r="D32" s="36"/>
      <c r="E32" s="36"/>
      <c r="F32" s="36"/>
      <c r="G32" s="36"/>
      <c r="H32" s="36"/>
      <c r="I32" s="37"/>
      <c r="J32" s="36"/>
    </row>
    <row r="33" ht="15.75" customHeight="1" spans="1:10" s="1" customFormat="1" x14ac:dyDescent="0.25">
      <c r="A33" s="32"/>
      <c r="B33" s="33"/>
      <c r="C33" s="33"/>
      <c r="D33" s="33"/>
      <c r="E33" s="33"/>
      <c r="F33" s="33"/>
      <c r="G33" s="33"/>
      <c r="H33" s="33"/>
      <c r="I33" s="34"/>
      <c r="J33" s="33"/>
    </row>
    <row r="34" ht="15.75" customHeight="1" spans="1:10" s="1" customFormat="1" x14ac:dyDescent="0.25">
      <c r="A34" s="35"/>
      <c r="B34" s="36"/>
      <c r="C34" s="36"/>
      <c r="D34" s="36"/>
      <c r="E34" s="36"/>
      <c r="F34" s="36"/>
      <c r="G34" s="36"/>
      <c r="H34" s="36"/>
      <c r="I34" s="37"/>
      <c r="J34" s="36"/>
    </row>
    <row r="35" ht="15.75" customHeight="1" spans="1:10" s="1" customFormat="1" x14ac:dyDescent="0.25">
      <c r="A35" s="32"/>
      <c r="B35" s="33"/>
      <c r="C35" s="33"/>
      <c r="D35" s="33"/>
      <c r="E35" s="33"/>
      <c r="F35" s="33"/>
      <c r="G35" s="33"/>
      <c r="H35" s="33"/>
      <c r="I35" s="34"/>
      <c r="J35" s="33"/>
    </row>
    <row r="36" ht="15.75" customHeight="1" spans="1:10" s="1" customFormat="1" x14ac:dyDescent="0.25">
      <c r="A36" s="35"/>
      <c r="B36" s="36"/>
      <c r="C36" s="36"/>
      <c r="D36" s="36"/>
      <c r="E36" s="36"/>
      <c r="F36" s="36"/>
      <c r="G36" s="36"/>
      <c r="H36" s="36"/>
      <c r="I36" s="37"/>
      <c r="J36" s="36"/>
    </row>
    <row r="37" ht="15.75" customHeight="1" spans="1:10" s="1" customFormat="1" x14ac:dyDescent="0.25">
      <c r="A37" s="32"/>
      <c r="B37" s="33"/>
      <c r="C37" s="33"/>
      <c r="D37" s="33"/>
      <c r="E37" s="33"/>
      <c r="F37" s="33"/>
      <c r="G37" s="33"/>
      <c r="H37" s="33"/>
      <c r="I37" s="34"/>
      <c r="J37" s="33"/>
    </row>
    <row r="38" ht="15.75" customHeight="1" spans="1:10" s="1" customFormat="1" x14ac:dyDescent="0.25">
      <c r="A38" s="35"/>
      <c r="B38" s="36"/>
      <c r="C38" s="36"/>
      <c r="D38" s="36"/>
      <c r="E38" s="36"/>
      <c r="F38" s="36"/>
      <c r="G38" s="36"/>
      <c r="H38" s="36"/>
      <c r="I38" s="37"/>
      <c r="J38" s="36"/>
    </row>
    <row r="39" ht="15.75" customHeight="1" spans="1:10" s="1" customFormat="1" x14ac:dyDescent="0.25">
      <c r="A39" s="32"/>
      <c r="B39" s="33"/>
      <c r="C39" s="33"/>
      <c r="D39" s="33"/>
      <c r="E39" s="33"/>
      <c r="F39" s="33"/>
      <c r="G39" s="33"/>
      <c r="H39" s="33"/>
      <c r="I39" s="34"/>
      <c r="J39" s="33"/>
    </row>
    <row r="40" ht="15.75" customHeight="1" spans="1:10" s="1" customFormat="1" x14ac:dyDescent="0.25">
      <c r="A40" s="35"/>
      <c r="B40" s="36"/>
      <c r="C40" s="36"/>
      <c r="D40" s="36"/>
      <c r="E40" s="36"/>
      <c r="F40" s="36"/>
      <c r="G40" s="36"/>
      <c r="H40" s="36"/>
      <c r="I40" s="37"/>
      <c r="J40" s="36"/>
    </row>
    <row r="41" ht="15.75" customHeight="1" spans="1:10" s="1" customFormat="1" x14ac:dyDescent="0.25">
      <c r="A41" s="32"/>
      <c r="B41" s="33"/>
      <c r="C41" s="33"/>
      <c r="D41" s="33"/>
      <c r="E41" s="33"/>
      <c r="F41" s="33"/>
      <c r="G41" s="33"/>
      <c r="H41" s="33"/>
      <c r="I41" s="34"/>
      <c r="J41" s="33"/>
    </row>
    <row r="42" ht="15.75" customHeight="1" spans="1:10" s="1" customFormat="1" x14ac:dyDescent="0.25">
      <c r="A42" s="35"/>
      <c r="B42" s="36"/>
      <c r="C42" s="36"/>
      <c r="D42" s="36"/>
      <c r="E42" s="36"/>
      <c r="F42" s="36"/>
      <c r="G42" s="36"/>
      <c r="H42" s="36"/>
      <c r="I42" s="37"/>
      <c r="J42" s="36"/>
    </row>
    <row r="43" ht="15.75" customHeight="1" spans="1:10" s="1" customFormat="1" x14ac:dyDescent="0.25">
      <c r="A43" s="32"/>
      <c r="B43" s="33"/>
      <c r="C43" s="33"/>
      <c r="D43" s="33"/>
      <c r="E43" s="33"/>
      <c r="F43" s="33"/>
      <c r="G43" s="33"/>
      <c r="H43" s="33"/>
      <c r="I43" s="34"/>
      <c r="J43" s="33"/>
    </row>
    <row r="44" ht="15.75" customHeight="1" spans="1:10" s="1" customFormat="1" x14ac:dyDescent="0.25">
      <c r="A44" s="35"/>
      <c r="B44" s="36"/>
      <c r="C44" s="36"/>
      <c r="D44" s="36"/>
      <c r="E44" s="36"/>
      <c r="F44" s="36"/>
      <c r="G44" s="36"/>
      <c r="H44" s="36"/>
      <c r="I44" s="37"/>
      <c r="J44" s="36"/>
    </row>
    <row r="45" ht="15.75" customHeight="1" spans="1:10" s="1" customFormat="1" x14ac:dyDescent="0.25">
      <c r="A45" s="32"/>
      <c r="B45" s="33"/>
      <c r="C45" s="33"/>
      <c r="D45" s="33"/>
      <c r="E45" s="33"/>
      <c r="F45" s="33"/>
      <c r="G45" s="33"/>
      <c r="H45" s="33"/>
      <c r="I45" s="34"/>
      <c r="J45" s="33"/>
    </row>
    <row r="46" ht="15.75" customHeight="1" spans="1:10" s="1" customFormat="1" x14ac:dyDescent="0.25">
      <c r="A46" s="35"/>
      <c r="B46" s="36"/>
      <c r="C46" s="36"/>
      <c r="D46" s="36"/>
      <c r="E46" s="36"/>
      <c r="F46" s="36"/>
      <c r="G46" s="36"/>
      <c r="H46" s="36"/>
      <c r="I46" s="37"/>
      <c r="J46" s="36"/>
    </row>
    <row r="47" ht="15.75" customHeight="1" spans="1:10" s="1" customFormat="1" x14ac:dyDescent="0.25">
      <c r="A47" s="32"/>
      <c r="B47" s="33"/>
      <c r="C47" s="33"/>
      <c r="D47" s="33"/>
      <c r="E47" s="33"/>
      <c r="F47" s="33"/>
      <c r="G47" s="33"/>
      <c r="H47" s="33"/>
      <c r="I47" s="34"/>
      <c r="J47" s="33"/>
    </row>
    <row r="48" ht="15.75" customHeight="1" spans="1:10" s="1" customFormat="1" x14ac:dyDescent="0.25">
      <c r="A48" s="35"/>
      <c r="B48" s="36"/>
      <c r="C48" s="36"/>
      <c r="D48" s="36"/>
      <c r="E48" s="36"/>
      <c r="F48" s="36"/>
      <c r="G48" s="36"/>
      <c r="H48" s="36"/>
      <c r="I48" s="37"/>
      <c r="J48" s="36"/>
    </row>
    <row r="49" ht="15.75" customHeight="1" spans="1:10" s="1" customFormat="1" x14ac:dyDescent="0.25">
      <c r="A49" s="32"/>
      <c r="B49" s="33"/>
      <c r="C49" s="33"/>
      <c r="D49" s="33"/>
      <c r="E49" s="33"/>
      <c r="F49" s="33"/>
      <c r="G49" s="33"/>
      <c r="H49" s="33"/>
      <c r="I49" s="34"/>
      <c r="J49" s="33"/>
    </row>
    <row r="50" ht="15.75" customHeight="1" spans="1:10" s="1" customFormat="1" x14ac:dyDescent="0.25">
      <c r="A50" s="35"/>
      <c r="B50" s="36"/>
      <c r="C50" s="36"/>
      <c r="D50" s="36"/>
      <c r="E50" s="36"/>
      <c r="F50" s="36"/>
      <c r="G50" s="36"/>
      <c r="H50" s="36"/>
      <c r="I50" s="37"/>
      <c r="J50" s="36"/>
    </row>
    <row r="51" ht="15.75" customHeight="1" spans="1:10" s="1" customFormat="1" x14ac:dyDescent="0.25">
      <c r="A51" s="32"/>
      <c r="B51" s="33"/>
      <c r="C51" s="33"/>
      <c r="D51" s="33"/>
      <c r="E51" s="33"/>
      <c r="F51" s="33"/>
      <c r="G51" s="33"/>
      <c r="H51" s="33"/>
      <c r="I51" s="34"/>
      <c r="J51" s="33"/>
    </row>
    <row r="52" ht="15.75" customHeight="1" spans="1:10" s="1" customFormat="1" x14ac:dyDescent="0.25">
      <c r="A52" s="35"/>
      <c r="B52" s="36"/>
      <c r="C52" s="36"/>
      <c r="D52" s="36"/>
      <c r="E52" s="36"/>
      <c r="F52" s="36"/>
      <c r="G52" s="36"/>
      <c r="H52" s="36"/>
      <c r="I52" s="37"/>
      <c r="J52" s="36"/>
    </row>
    <row r="53" ht="15.75" customHeight="1" spans="1:10" s="1" customFormat="1" x14ac:dyDescent="0.25">
      <c r="A53" s="32"/>
      <c r="B53" s="33"/>
      <c r="C53" s="33"/>
      <c r="D53" s="33"/>
      <c r="E53" s="33"/>
      <c r="F53" s="33"/>
      <c r="G53" s="33"/>
      <c r="H53" s="33"/>
      <c r="I53" s="34"/>
      <c r="J53" s="33"/>
    </row>
    <row r="54" ht="15.75" customHeight="1" spans="1:10" s="1" customFormat="1" x14ac:dyDescent="0.25">
      <c r="A54" s="35"/>
      <c r="B54" s="36"/>
      <c r="C54" s="36"/>
      <c r="D54" s="36"/>
      <c r="E54" s="36"/>
      <c r="F54" s="36"/>
      <c r="G54" s="36"/>
      <c r="H54" s="36"/>
      <c r="I54" s="37"/>
      <c r="J54" s="36"/>
    </row>
    <row r="55" ht="15.75" customHeight="1" spans="1:10" s="1" customFormat="1" x14ac:dyDescent="0.25">
      <c r="A55" s="32"/>
      <c r="B55" s="33"/>
      <c r="C55" s="33"/>
      <c r="D55" s="33"/>
      <c r="E55" s="33"/>
      <c r="F55" s="33"/>
      <c r="G55" s="33"/>
      <c r="H55" s="33"/>
      <c r="I55" s="34"/>
      <c r="J55" s="33"/>
    </row>
    <row r="56" ht="15.75" customHeight="1" spans="1:10" s="1" customFormat="1" x14ac:dyDescent="0.25">
      <c r="A56" s="35"/>
      <c r="B56" s="36"/>
      <c r="C56" s="36"/>
      <c r="D56" s="36"/>
      <c r="E56" s="36"/>
      <c r="F56" s="36"/>
      <c r="G56" s="36"/>
      <c r="H56" s="36"/>
      <c r="I56" s="37"/>
      <c r="J56" s="36"/>
    </row>
    <row r="57" ht="15.75" customHeight="1" spans="1:10" s="1" customFormat="1" x14ac:dyDescent="0.25">
      <c r="A57" s="32"/>
      <c r="B57" s="33"/>
      <c r="C57" s="33"/>
      <c r="D57" s="33"/>
      <c r="E57" s="33"/>
      <c r="F57" s="33"/>
      <c r="G57" s="33"/>
      <c r="H57" s="33"/>
      <c r="I57" s="34"/>
      <c r="J57" s="33"/>
    </row>
    <row r="58" ht="15.75" customHeight="1" spans="1:10" s="1" customFormat="1" x14ac:dyDescent="0.25">
      <c r="A58" s="35"/>
      <c r="B58" s="36"/>
      <c r="C58" s="36"/>
      <c r="D58" s="36"/>
      <c r="E58" s="36"/>
      <c r="F58" s="36"/>
      <c r="G58" s="36"/>
      <c r="H58" s="36"/>
      <c r="I58" s="37"/>
      <c r="J58" s="36"/>
    </row>
    <row r="59" ht="15.75" customHeight="1" spans="1:10" s="1" customFormat="1" x14ac:dyDescent="0.25">
      <c r="A59" s="32"/>
      <c r="B59" s="33"/>
      <c r="C59" s="33"/>
      <c r="D59" s="33"/>
      <c r="E59" s="33"/>
      <c r="F59" s="33"/>
      <c r="G59" s="33"/>
      <c r="H59" s="33"/>
      <c r="I59" s="34"/>
      <c r="J59" s="33"/>
    </row>
    <row r="60" ht="15.75" customHeight="1" spans="1:10" s="1" customFormat="1" x14ac:dyDescent="0.25">
      <c r="A60" s="35"/>
      <c r="B60" s="36"/>
      <c r="C60" s="36"/>
      <c r="D60" s="36"/>
      <c r="E60" s="36"/>
      <c r="F60" s="36"/>
      <c r="G60" s="36"/>
      <c r="H60" s="36"/>
      <c r="I60" s="37"/>
      <c r="J60" s="36"/>
    </row>
    <row r="61" ht="15.75" customHeight="1" spans="1:10" s="1" customFormat="1" x14ac:dyDescent="0.25">
      <c r="A61" s="32"/>
      <c r="B61" s="33"/>
      <c r="C61" s="33"/>
      <c r="D61" s="33"/>
      <c r="E61" s="33"/>
      <c r="F61" s="33"/>
      <c r="G61" s="33"/>
      <c r="H61" s="33"/>
      <c r="I61" s="34"/>
      <c r="J61" s="33"/>
    </row>
    <row r="62" ht="15.75" customHeight="1" spans="1:10" s="1" customFormat="1" x14ac:dyDescent="0.25">
      <c r="A62" s="35"/>
      <c r="B62" s="36"/>
      <c r="C62" s="36"/>
      <c r="D62" s="36"/>
      <c r="E62" s="36"/>
      <c r="F62" s="36"/>
      <c r="G62" s="36"/>
      <c r="H62" s="36"/>
      <c r="I62" s="37"/>
      <c r="J62" s="36"/>
    </row>
    <row r="63" ht="15.75" customHeight="1" spans="1:10" s="1" customFormat="1" x14ac:dyDescent="0.25">
      <c r="A63" s="32"/>
      <c r="B63" s="33"/>
      <c r="C63" s="33"/>
      <c r="D63" s="33"/>
      <c r="E63" s="33"/>
      <c r="F63" s="33"/>
      <c r="G63" s="33"/>
      <c r="H63" s="33"/>
      <c r="I63" s="34"/>
      <c r="J63" s="33"/>
    </row>
    <row r="64" ht="15.75" customHeight="1" spans="1:10" s="1" customFormat="1" x14ac:dyDescent="0.25">
      <c r="A64" s="35"/>
      <c r="B64" s="36"/>
      <c r="C64" s="36"/>
      <c r="D64" s="36"/>
      <c r="E64" s="36"/>
      <c r="F64" s="36"/>
      <c r="G64" s="36"/>
      <c r="H64" s="36"/>
      <c r="I64" s="37"/>
      <c r="J64" s="36"/>
    </row>
    <row r="65" ht="15.75" customHeight="1" spans="1:10" s="1" customFormat="1" x14ac:dyDescent="0.25">
      <c r="A65" s="32"/>
      <c r="B65" s="33"/>
      <c r="C65" s="33"/>
      <c r="D65" s="33"/>
      <c r="E65" s="33"/>
      <c r="F65" s="33"/>
      <c r="G65" s="33"/>
      <c r="H65" s="33"/>
      <c r="I65" s="34"/>
      <c r="J65" s="33"/>
    </row>
    <row r="66" ht="15.75" customHeight="1" spans="1:10" s="1" customFormat="1" x14ac:dyDescent="0.25">
      <c r="A66" s="35"/>
      <c r="B66" s="36"/>
      <c r="C66" s="36"/>
      <c r="D66" s="36"/>
      <c r="E66" s="36"/>
      <c r="F66" s="36"/>
      <c r="G66" s="36"/>
      <c r="H66" s="36"/>
      <c r="I66" s="37"/>
      <c r="J66" s="36"/>
    </row>
    <row r="67" ht="15.75" customHeight="1" spans="1:10" s="1" customFormat="1" x14ac:dyDescent="0.25">
      <c r="A67" s="32"/>
      <c r="B67" s="33"/>
      <c r="C67" s="33"/>
      <c r="D67" s="33"/>
      <c r="E67" s="33"/>
      <c r="F67" s="33"/>
      <c r="G67" s="33"/>
      <c r="H67" s="33"/>
      <c r="I67" s="34"/>
      <c r="J67" s="33"/>
    </row>
    <row r="68" ht="15.75" customHeight="1" spans="1:10" s="1" customFormat="1" x14ac:dyDescent="0.25">
      <c r="A68" s="35"/>
      <c r="B68" s="36"/>
      <c r="C68" s="36"/>
      <c r="D68" s="36"/>
      <c r="E68" s="36"/>
      <c r="F68" s="36"/>
      <c r="G68" s="36"/>
      <c r="H68" s="36"/>
      <c r="I68" s="37"/>
      <c r="J68" s="36"/>
    </row>
    <row r="69" ht="15.75" customHeight="1" spans="1:10" s="1" customFormat="1" x14ac:dyDescent="0.25">
      <c r="A69" s="32"/>
      <c r="B69" s="33"/>
      <c r="C69" s="33"/>
      <c r="D69" s="33"/>
      <c r="E69" s="33"/>
      <c r="F69" s="33"/>
      <c r="G69" s="33"/>
      <c r="H69" s="33"/>
      <c r="I69" s="34"/>
      <c r="J69" s="33"/>
    </row>
    <row r="70" ht="15.75" customHeight="1" spans="1:10" s="1" customFormat="1" x14ac:dyDescent="0.25">
      <c r="A70" s="35"/>
      <c r="B70" s="36"/>
      <c r="C70" s="36"/>
      <c r="D70" s="36"/>
      <c r="E70" s="36"/>
      <c r="F70" s="36"/>
      <c r="G70" s="36"/>
      <c r="H70" s="36"/>
      <c r="I70" s="37"/>
      <c r="J70" s="36"/>
    </row>
    <row r="71" ht="15.75" customHeight="1" spans="1:10" s="1" customFormat="1" x14ac:dyDescent="0.25">
      <c r="A71" s="32"/>
      <c r="B71" s="33"/>
      <c r="C71" s="33"/>
      <c r="D71" s="33"/>
      <c r="E71" s="33"/>
      <c r="F71" s="33"/>
      <c r="G71" s="33"/>
      <c r="H71" s="33"/>
      <c r="I71" s="34"/>
      <c r="J71" s="33"/>
    </row>
    <row r="72" ht="15.75" customHeight="1" spans="1:10" s="1" customFormat="1" x14ac:dyDescent="0.25">
      <c r="A72" s="35"/>
      <c r="B72" s="36"/>
      <c r="C72" s="36"/>
      <c r="D72" s="36"/>
      <c r="E72" s="36"/>
      <c r="F72" s="36"/>
      <c r="G72" s="36"/>
      <c r="H72" s="36"/>
      <c r="I72" s="37"/>
      <c r="J72" s="36"/>
    </row>
    <row r="73" ht="15.75" customHeight="1" spans="1:10" s="1" customFormat="1" x14ac:dyDescent="0.25">
      <c r="A73" s="32"/>
      <c r="B73" s="33"/>
      <c r="C73" s="33"/>
      <c r="D73" s="33"/>
      <c r="E73" s="33"/>
      <c r="F73" s="33"/>
      <c r="G73" s="33"/>
      <c r="H73" s="33"/>
      <c r="I73" s="34"/>
      <c r="J73" s="33"/>
    </row>
    <row r="74" ht="15.75" customHeight="1" spans="1:10" s="1" customFormat="1" x14ac:dyDescent="0.25">
      <c r="A74" s="35"/>
      <c r="B74" s="36"/>
      <c r="C74" s="36"/>
      <c r="D74" s="36"/>
      <c r="E74" s="36"/>
      <c r="F74" s="36"/>
      <c r="G74" s="36"/>
      <c r="H74" s="36"/>
      <c r="I74" s="37"/>
      <c r="J74" s="36"/>
    </row>
    <row r="75" ht="15.75" customHeight="1" spans="1:10" s="1" customFormat="1" x14ac:dyDescent="0.25">
      <c r="A75" s="32"/>
      <c r="B75" s="33"/>
      <c r="C75" s="33"/>
      <c r="D75" s="33"/>
      <c r="E75" s="33"/>
      <c r="F75" s="33"/>
      <c r="G75" s="33"/>
      <c r="H75" s="33"/>
      <c r="I75" s="34"/>
      <c r="J75" s="33"/>
    </row>
    <row r="76" ht="15.75" customHeight="1" spans="1:10" s="1" customFormat="1" x14ac:dyDescent="0.25">
      <c r="A76" s="35"/>
      <c r="B76" s="36"/>
      <c r="C76" s="36"/>
      <c r="D76" s="36"/>
      <c r="E76" s="36"/>
      <c r="F76" s="36"/>
      <c r="G76" s="36"/>
      <c r="H76" s="36"/>
      <c r="I76" s="37"/>
      <c r="J76" s="36"/>
    </row>
    <row r="77" ht="15.75" customHeight="1" spans="1:10" s="1" customFormat="1" x14ac:dyDescent="0.25">
      <c r="A77" s="32"/>
      <c r="B77" s="33"/>
      <c r="C77" s="33"/>
      <c r="D77" s="33"/>
      <c r="E77" s="33"/>
      <c r="F77" s="33"/>
      <c r="G77" s="33"/>
      <c r="H77" s="33"/>
      <c r="I77" s="34"/>
      <c r="J77" s="33"/>
    </row>
    <row r="78" ht="15.75" customHeight="1" spans="1:10" s="1" customFormat="1" x14ac:dyDescent="0.25">
      <c r="A78" s="35"/>
      <c r="B78" s="36"/>
      <c r="C78" s="36"/>
      <c r="D78" s="36"/>
      <c r="E78" s="36"/>
      <c r="F78" s="36"/>
      <c r="G78" s="36"/>
      <c r="H78" s="36"/>
      <c r="I78" s="37"/>
      <c r="J78" s="36"/>
    </row>
    <row r="79" ht="15.75" customHeight="1" spans="1:10" s="1" customFormat="1" x14ac:dyDescent="0.25">
      <c r="A79" s="32"/>
      <c r="B79" s="33"/>
      <c r="C79" s="33"/>
      <c r="D79" s="33"/>
      <c r="E79" s="33"/>
      <c r="F79" s="33"/>
      <c r="G79" s="33"/>
      <c r="H79" s="33"/>
      <c r="I79" s="34"/>
      <c r="J79" s="33"/>
    </row>
    <row r="80" ht="15.75" customHeight="1" spans="1:10" s="1" customFormat="1" x14ac:dyDescent="0.25">
      <c r="A80" s="35"/>
      <c r="B80" s="36"/>
      <c r="C80" s="36"/>
      <c r="D80" s="36"/>
      <c r="E80" s="36"/>
      <c r="F80" s="36"/>
      <c r="G80" s="36"/>
      <c r="H80" s="36"/>
      <c r="I80" s="37"/>
      <c r="J80" s="36"/>
    </row>
    <row r="81" ht="15.75" customHeight="1" spans="1:10" s="1" customFormat="1" x14ac:dyDescent="0.25">
      <c r="A81" s="32"/>
      <c r="B81" s="33"/>
      <c r="C81" s="33"/>
      <c r="D81" s="33"/>
      <c r="E81" s="33"/>
      <c r="F81" s="33"/>
      <c r="G81" s="33"/>
      <c r="H81" s="33"/>
      <c r="I81" s="34"/>
      <c r="J81" s="33"/>
    </row>
    <row r="82" ht="15.75" customHeight="1" spans="1:10" s="1" customFormat="1" x14ac:dyDescent="0.25">
      <c r="A82" s="35"/>
      <c r="B82" s="36"/>
      <c r="C82" s="36"/>
      <c r="D82" s="36"/>
      <c r="E82" s="36"/>
      <c r="F82" s="36"/>
      <c r="G82" s="36"/>
      <c r="H82" s="36"/>
      <c r="I82" s="37"/>
      <c r="J82" s="36"/>
    </row>
    <row r="83" ht="15.75" customHeight="1" spans="1:10" s="1" customFormat="1" x14ac:dyDescent="0.25">
      <c r="A83" s="32"/>
      <c r="B83" s="33"/>
      <c r="C83" s="33"/>
      <c r="D83" s="33"/>
      <c r="E83" s="33"/>
      <c r="F83" s="33"/>
      <c r="G83" s="33"/>
      <c r="H83" s="33"/>
      <c r="I83" s="34"/>
      <c r="J83" s="33"/>
    </row>
    <row r="84" ht="15.75" customHeight="1" spans="1:10" s="1" customFormat="1" x14ac:dyDescent="0.25">
      <c r="A84" s="35"/>
      <c r="B84" s="36"/>
      <c r="C84" s="36"/>
      <c r="D84" s="36"/>
      <c r="E84" s="36"/>
      <c r="F84" s="36"/>
      <c r="G84" s="36"/>
      <c r="H84" s="36"/>
      <c r="I84" s="37"/>
      <c r="J84" s="36"/>
    </row>
    <row r="85" ht="15.75" customHeight="1" spans="1:10" s="1" customFormat="1" x14ac:dyDescent="0.25">
      <c r="A85" s="32"/>
      <c r="B85" s="33"/>
      <c r="C85" s="33"/>
      <c r="D85" s="33"/>
      <c r="E85" s="33"/>
      <c r="F85" s="33"/>
      <c r="G85" s="33"/>
      <c r="H85" s="33"/>
      <c r="I85" s="34"/>
      <c r="J85" s="33"/>
    </row>
    <row r="86" ht="15.75" customHeight="1" spans="1:10" s="1" customFormat="1" x14ac:dyDescent="0.25">
      <c r="A86" s="35"/>
      <c r="B86" s="36"/>
      <c r="C86" s="36"/>
      <c r="D86" s="36"/>
      <c r="E86" s="36"/>
      <c r="F86" s="36"/>
      <c r="G86" s="36"/>
      <c r="H86" s="36"/>
      <c r="I86" s="37"/>
      <c r="J86" s="36"/>
    </row>
    <row r="87" ht="15.75" customHeight="1" spans="1:10" s="1" customFormat="1" x14ac:dyDescent="0.25">
      <c r="A87" s="32"/>
      <c r="B87" s="33"/>
      <c r="C87" s="33"/>
      <c r="D87" s="33"/>
      <c r="E87" s="33"/>
      <c r="F87" s="33"/>
      <c r="G87" s="33"/>
      <c r="H87" s="33"/>
      <c r="I87" s="34"/>
      <c r="J87" s="33"/>
    </row>
    <row r="88" ht="15.75" customHeight="1" spans="1:10" s="1" customFormat="1" x14ac:dyDescent="0.25">
      <c r="A88" s="35"/>
      <c r="B88" s="36"/>
      <c r="C88" s="36"/>
      <c r="D88" s="36"/>
      <c r="E88" s="36"/>
      <c r="F88" s="36"/>
      <c r="G88" s="36"/>
      <c r="H88" s="36"/>
      <c r="I88" s="37"/>
      <c r="J88" s="36"/>
    </row>
    <row r="89" ht="15.75" customHeight="1" spans="1:10" s="1" customFormat="1" x14ac:dyDescent="0.25">
      <c r="A89" s="32"/>
      <c r="B89" s="33"/>
      <c r="C89" s="33"/>
      <c r="D89" s="33"/>
      <c r="E89" s="33"/>
      <c r="F89" s="33"/>
      <c r="G89" s="33"/>
      <c r="H89" s="33"/>
      <c r="I89" s="34"/>
      <c r="J89" s="33"/>
    </row>
    <row r="90" ht="15.75" customHeight="1" spans="1:10" s="1" customFormat="1" x14ac:dyDescent="0.25">
      <c r="A90" s="35"/>
      <c r="B90" s="36"/>
      <c r="C90" s="36"/>
      <c r="D90" s="36"/>
      <c r="E90" s="36"/>
      <c r="F90" s="36"/>
      <c r="G90" s="36"/>
      <c r="H90" s="36"/>
      <c r="I90" s="37"/>
      <c r="J90" s="36"/>
    </row>
    <row r="91" ht="15.75" customHeight="1" spans="1:10" s="1" customFormat="1" x14ac:dyDescent="0.25">
      <c r="A91" s="32"/>
      <c r="B91" s="33"/>
      <c r="C91" s="33"/>
      <c r="D91" s="33"/>
      <c r="E91" s="33"/>
      <c r="F91" s="33"/>
      <c r="G91" s="33"/>
      <c r="H91" s="33"/>
      <c r="I91" s="34"/>
      <c r="J91" s="33"/>
    </row>
    <row r="92" ht="15.75" customHeight="1" spans="1:10" s="1" customFormat="1" x14ac:dyDescent="0.25">
      <c r="A92" s="35"/>
      <c r="B92" s="36"/>
      <c r="C92" s="36"/>
      <c r="D92" s="36"/>
      <c r="E92" s="36"/>
      <c r="F92" s="36"/>
      <c r="G92" s="36"/>
      <c r="H92" s="36"/>
      <c r="I92" s="37"/>
      <c r="J92" s="36"/>
    </row>
    <row r="93" ht="15.75" customHeight="1" spans="1:10" s="1" customFormat="1" x14ac:dyDescent="0.25">
      <c r="A93" s="32"/>
      <c r="B93" s="33"/>
      <c r="C93" s="33"/>
      <c r="D93" s="33"/>
      <c r="E93" s="33"/>
      <c r="F93" s="33"/>
      <c r="G93" s="33"/>
      <c r="H93" s="33"/>
      <c r="I93" s="34"/>
      <c r="J93" s="33"/>
    </row>
    <row r="94" ht="15.75" customHeight="1" spans="1:10" s="1" customFormat="1" x14ac:dyDescent="0.25">
      <c r="A94" s="35"/>
      <c r="B94" s="36"/>
      <c r="C94" s="36"/>
      <c r="D94" s="36"/>
      <c r="E94" s="36"/>
      <c r="F94" s="36"/>
      <c r="G94" s="36"/>
      <c r="H94" s="36"/>
      <c r="I94" s="37"/>
      <c r="J94" s="36"/>
    </row>
    <row r="95" ht="15.75" customHeight="1" spans="1:10" s="1" customFormat="1" x14ac:dyDescent="0.25">
      <c r="A95" s="32"/>
      <c r="B95" s="33"/>
      <c r="C95" s="33"/>
      <c r="D95" s="33"/>
      <c r="E95" s="33"/>
      <c r="F95" s="33"/>
      <c r="G95" s="33"/>
      <c r="H95" s="33"/>
      <c r="I95" s="34"/>
      <c r="J95" s="33"/>
    </row>
    <row r="96" ht="15.75" customHeight="1" spans="1:10" s="1" customFormat="1" x14ac:dyDescent="0.25">
      <c r="A96" s="35"/>
      <c r="B96" s="36"/>
      <c r="C96" s="36"/>
      <c r="D96" s="36"/>
      <c r="E96" s="36"/>
      <c r="F96" s="36"/>
      <c r="G96" s="36"/>
      <c r="H96" s="36"/>
      <c r="I96" s="37"/>
      <c r="J96" s="36"/>
    </row>
    <row r="97" ht="15.75" customHeight="1" spans="1:10" s="1" customFormat="1" x14ac:dyDescent="0.25">
      <c r="A97" s="32"/>
      <c r="B97" s="33"/>
      <c r="C97" s="33"/>
      <c r="D97" s="33"/>
      <c r="E97" s="33"/>
      <c r="F97" s="33"/>
      <c r="G97" s="33"/>
      <c r="H97" s="33"/>
      <c r="I97" s="34"/>
      <c r="J97" s="33"/>
    </row>
    <row r="98" ht="15.75" customHeight="1" spans="1:10" s="1" customFormat="1" x14ac:dyDescent="0.25">
      <c r="A98" s="35"/>
      <c r="B98" s="36"/>
      <c r="C98" s="36"/>
      <c r="D98" s="36"/>
      <c r="E98" s="36"/>
      <c r="F98" s="36"/>
      <c r="G98" s="36"/>
      <c r="H98" s="36"/>
      <c r="I98" s="37"/>
      <c r="J98" s="36"/>
    </row>
    <row r="99" ht="15.75" customHeight="1" spans="1:10" s="1" customFormat="1" x14ac:dyDescent="0.25">
      <c r="A99" s="32"/>
      <c r="B99" s="33"/>
      <c r="C99" s="33"/>
      <c r="D99" s="33"/>
      <c r="E99" s="33"/>
      <c r="F99" s="33"/>
      <c r="G99" s="33"/>
      <c r="H99" s="33"/>
      <c r="I99" s="34"/>
      <c r="J99" s="33"/>
    </row>
    <row r="100" ht="15.75" customHeight="1" spans="1:10" s="1" customFormat="1" x14ac:dyDescent="0.25">
      <c r="A100" s="35"/>
      <c r="B100" s="36"/>
      <c r="C100" s="36"/>
      <c r="D100" s="36"/>
      <c r="E100" s="36"/>
      <c r="F100" s="36"/>
      <c r="G100" s="36"/>
      <c r="H100" s="36"/>
      <c r="I100" s="37"/>
      <c r="J100" s="36"/>
    </row>
    <row r="101" ht="15.75" customHeight="1" spans="1:10" s="1" customFormat="1" x14ac:dyDescent="0.25">
      <c r="A101" s="32"/>
      <c r="B101" s="33"/>
      <c r="C101" s="33"/>
      <c r="D101" s="33"/>
      <c r="E101" s="33"/>
      <c r="F101" s="33"/>
      <c r="G101" s="33"/>
      <c r="H101" s="33"/>
      <c r="I101" s="34"/>
      <c r="J101" s="33"/>
    </row>
    <row r="102" ht="15.75" customHeight="1" spans="1:10" s="1" customFormat="1" x14ac:dyDescent="0.25">
      <c r="A102" s="35"/>
      <c r="B102" s="36"/>
      <c r="C102" s="36"/>
      <c r="D102" s="36"/>
      <c r="E102" s="36"/>
      <c r="F102" s="36"/>
      <c r="G102" s="36"/>
      <c r="H102" s="36"/>
      <c r="I102" s="37"/>
      <c r="J102" s="36"/>
    </row>
    <row r="103" ht="15.75" customHeight="1" spans="1:10" s="1" customFormat="1" x14ac:dyDescent="0.25">
      <c r="A103" s="32"/>
      <c r="B103" s="33"/>
      <c r="C103" s="33"/>
      <c r="D103" s="33"/>
      <c r="E103" s="33"/>
      <c r="F103" s="33"/>
      <c r="G103" s="33"/>
      <c r="H103" s="33"/>
      <c r="I103" s="34"/>
      <c r="J103" s="33"/>
    </row>
    <row r="104" ht="15.75" customHeight="1" spans="1:10" s="1" customFormat="1" x14ac:dyDescent="0.25">
      <c r="A104" s="35"/>
      <c r="B104" s="36"/>
      <c r="C104" s="36"/>
      <c r="D104" s="36"/>
      <c r="E104" s="36"/>
      <c r="F104" s="36"/>
      <c r="G104" s="36"/>
      <c r="H104" s="36"/>
      <c r="I104" s="37"/>
      <c r="J104" s="36"/>
    </row>
    <row r="105" ht="15.75" customHeight="1" spans="1:10" s="1" customFormat="1" x14ac:dyDescent="0.25">
      <c r="A105" s="32"/>
      <c r="B105" s="33"/>
      <c r="C105" s="33"/>
      <c r="D105" s="33"/>
      <c r="E105" s="33"/>
      <c r="F105" s="33"/>
      <c r="G105" s="33"/>
      <c r="H105" s="33"/>
      <c r="I105" s="34"/>
      <c r="J105" s="33"/>
    </row>
    <row r="106" ht="15.75" customHeight="1" spans="1:10" s="1" customFormat="1" x14ac:dyDescent="0.25">
      <c r="A106" s="35"/>
      <c r="B106" s="36"/>
      <c r="C106" s="36"/>
      <c r="D106" s="36"/>
      <c r="E106" s="36"/>
      <c r="F106" s="36"/>
      <c r="G106" s="36"/>
      <c r="H106" s="36"/>
      <c r="I106" s="37"/>
      <c r="J106" s="36"/>
    </row>
    <row r="107" ht="15.75" customHeight="1" spans="1:10" s="1" customFormat="1" x14ac:dyDescent="0.25">
      <c r="A107" s="32"/>
      <c r="B107" s="33"/>
      <c r="C107" s="33"/>
      <c r="D107" s="33"/>
      <c r="E107" s="33"/>
      <c r="F107" s="33"/>
      <c r="G107" s="33"/>
      <c r="H107" s="33"/>
      <c r="I107" s="34"/>
      <c r="J107" s="33"/>
    </row>
    <row r="108" ht="15.75" customHeight="1" spans="1:10" s="1" customFormat="1" x14ac:dyDescent="0.25">
      <c r="A108" s="35"/>
      <c r="B108" s="36"/>
      <c r="C108" s="36"/>
      <c r="D108" s="36"/>
      <c r="E108" s="36"/>
      <c r="F108" s="36"/>
      <c r="G108" s="36"/>
      <c r="H108" s="36"/>
      <c r="I108" s="37"/>
      <c r="J108" s="36"/>
    </row>
    <row r="109" ht="15.75" customHeight="1" spans="1:10" s="1" customFormat="1" x14ac:dyDescent="0.25">
      <c r="A109" s="32"/>
      <c r="B109" s="33"/>
      <c r="C109" s="33"/>
      <c r="D109" s="33"/>
      <c r="E109" s="33"/>
      <c r="F109" s="33"/>
      <c r="G109" s="33"/>
      <c r="H109" s="33"/>
      <c r="I109" s="34"/>
      <c r="J109" s="33"/>
    </row>
    <row r="110" ht="15.75" customHeight="1" spans="1:10" s="1" customFormat="1" x14ac:dyDescent="0.25">
      <c r="A110" s="35"/>
      <c r="B110" s="36"/>
      <c r="C110" s="36"/>
      <c r="D110" s="36"/>
      <c r="E110" s="36"/>
      <c r="F110" s="36"/>
      <c r="G110" s="36"/>
      <c r="H110" s="36"/>
      <c r="I110" s="37"/>
      <c r="J110" s="36"/>
    </row>
    <row r="111" ht="15.75" customHeight="1" spans="1:10" s="1" customFormat="1" x14ac:dyDescent="0.25">
      <c r="A111" s="32"/>
      <c r="B111" s="33"/>
      <c r="C111" s="33"/>
      <c r="D111" s="33"/>
      <c r="E111" s="33"/>
      <c r="F111" s="33"/>
      <c r="G111" s="33"/>
      <c r="H111" s="33"/>
      <c r="I111" s="34"/>
      <c r="J111" s="33"/>
    </row>
    <row r="112" ht="15.75" customHeight="1" spans="1:10" s="1" customFormat="1" x14ac:dyDescent="0.25">
      <c r="A112" s="35"/>
      <c r="B112" s="36"/>
      <c r="C112" s="36"/>
      <c r="D112" s="36"/>
      <c r="E112" s="36"/>
      <c r="F112" s="36"/>
      <c r="G112" s="36"/>
      <c r="H112" s="36"/>
      <c r="I112" s="37"/>
      <c r="J112" s="36"/>
    </row>
    <row r="113" ht="15.75" customHeight="1" spans="1:10" s="1" customFormat="1" x14ac:dyDescent="0.25">
      <c r="A113" s="32"/>
      <c r="B113" s="33"/>
      <c r="C113" s="33"/>
      <c r="D113" s="33"/>
      <c r="E113" s="33"/>
      <c r="F113" s="33"/>
      <c r="G113" s="33"/>
      <c r="H113" s="33"/>
      <c r="I113" s="34"/>
      <c r="J113" s="33"/>
    </row>
    <row r="114" ht="15.75" customHeight="1" spans="1:10" s="1" customFormat="1" x14ac:dyDescent="0.25">
      <c r="A114" s="35"/>
      <c r="B114" s="36"/>
      <c r="C114" s="36"/>
      <c r="D114" s="36"/>
      <c r="E114" s="36"/>
      <c r="F114" s="36"/>
      <c r="G114" s="36"/>
      <c r="H114" s="36"/>
      <c r="I114" s="37"/>
      <c r="J114" s="36"/>
    </row>
    <row r="115" ht="15.75" customHeight="1" spans="1:10" s="1" customFormat="1" x14ac:dyDescent="0.25">
      <c r="A115" s="32"/>
      <c r="B115" s="33"/>
      <c r="C115" s="33"/>
      <c r="D115" s="33"/>
      <c r="E115" s="33"/>
      <c r="F115" s="33"/>
      <c r="G115" s="33"/>
      <c r="H115" s="33"/>
      <c r="I115" s="34"/>
      <c r="J115" s="33"/>
    </row>
    <row r="116" ht="15.75" customHeight="1" spans="1:10" s="1" customFormat="1" x14ac:dyDescent="0.25">
      <c r="A116" s="35"/>
      <c r="B116" s="36"/>
      <c r="C116" s="36"/>
      <c r="D116" s="36"/>
      <c r="E116" s="36"/>
      <c r="F116" s="36"/>
      <c r="G116" s="36"/>
      <c r="H116" s="36"/>
      <c r="I116" s="37"/>
      <c r="J116" s="36"/>
    </row>
    <row r="117" ht="15.75" customHeight="1" spans="1:10" s="1" customFormat="1" x14ac:dyDescent="0.25">
      <c r="A117" s="32"/>
      <c r="B117" s="33"/>
      <c r="C117" s="33"/>
      <c r="D117" s="33"/>
      <c r="E117" s="33"/>
      <c r="F117" s="33"/>
      <c r="G117" s="33"/>
      <c r="H117" s="33"/>
      <c r="I117" s="34"/>
      <c r="J117" s="33"/>
    </row>
    <row r="118" ht="15.75" customHeight="1" spans="1:10" s="1" customFormat="1" x14ac:dyDescent="0.25">
      <c r="A118" s="35"/>
      <c r="B118" s="36"/>
      <c r="C118" s="36"/>
      <c r="D118" s="36"/>
      <c r="E118" s="36"/>
      <c r="F118" s="36"/>
      <c r="G118" s="36"/>
      <c r="H118" s="36"/>
      <c r="I118" s="37"/>
      <c r="J118" s="36"/>
    </row>
    <row r="119" ht="15.75" customHeight="1" spans="1:10" s="1" customFormat="1" x14ac:dyDescent="0.25">
      <c r="A119" s="32"/>
      <c r="B119" s="33"/>
      <c r="C119" s="33"/>
      <c r="D119" s="33"/>
      <c r="E119" s="33"/>
      <c r="F119" s="33"/>
      <c r="G119" s="33"/>
      <c r="H119" s="33"/>
      <c r="I119" s="34"/>
      <c r="J119" s="33"/>
    </row>
    <row r="120" ht="15.75" customHeight="1" spans="1:10" s="1" customFormat="1" x14ac:dyDescent="0.25">
      <c r="A120" s="35"/>
      <c r="B120" s="36"/>
      <c r="C120" s="36"/>
      <c r="D120" s="36"/>
      <c r="E120" s="36"/>
      <c r="F120" s="36"/>
      <c r="G120" s="36"/>
      <c r="H120" s="36"/>
      <c r="I120" s="37"/>
      <c r="J120" s="36"/>
    </row>
    <row r="121" ht="15.75" customHeight="1" spans="1:10" s="1" customFormat="1" x14ac:dyDescent="0.25">
      <c r="A121" s="32"/>
      <c r="B121" s="33"/>
      <c r="C121" s="33"/>
      <c r="D121" s="33"/>
      <c r="E121" s="33"/>
      <c r="F121" s="33"/>
      <c r="G121" s="33"/>
      <c r="H121" s="33"/>
      <c r="I121" s="34"/>
      <c r="J121" s="33"/>
    </row>
    <row r="122" ht="15.75" customHeight="1" spans="1:10" s="1" customFormat="1" x14ac:dyDescent="0.25">
      <c r="A122" s="35"/>
      <c r="B122" s="36"/>
      <c r="C122" s="36"/>
      <c r="D122" s="36"/>
      <c r="E122" s="36"/>
      <c r="F122" s="36"/>
      <c r="G122" s="36"/>
      <c r="H122" s="36"/>
      <c r="I122" s="37"/>
      <c r="J122" s="36"/>
    </row>
    <row r="123" ht="15.75" customHeight="1" spans="1:10" s="1" customFormat="1" x14ac:dyDescent="0.25">
      <c r="A123" s="32"/>
      <c r="B123" s="33"/>
      <c r="C123" s="33"/>
      <c r="D123" s="33"/>
      <c r="E123" s="33"/>
      <c r="F123" s="33"/>
      <c r="G123" s="33"/>
      <c r="H123" s="33"/>
      <c r="I123" s="34"/>
      <c r="J123" s="33"/>
    </row>
    <row r="124" ht="15.75" customHeight="1" spans="1:10" s="1" customFormat="1" x14ac:dyDescent="0.25">
      <c r="A124" s="35"/>
      <c r="B124" s="36"/>
      <c r="C124" s="36"/>
      <c r="D124" s="36"/>
      <c r="E124" s="36"/>
      <c r="F124" s="36"/>
      <c r="G124" s="36"/>
      <c r="H124" s="36"/>
      <c r="I124" s="37"/>
      <c r="J124" s="36"/>
    </row>
    <row r="125" ht="15.75" customHeight="1" spans="1:10" s="1" customFormat="1" x14ac:dyDescent="0.25">
      <c r="A125" s="32"/>
      <c r="B125" s="33"/>
      <c r="C125" s="33"/>
      <c r="D125" s="33"/>
      <c r="E125" s="33"/>
      <c r="F125" s="33"/>
      <c r="G125" s="33"/>
      <c r="H125" s="33"/>
      <c r="I125" s="34"/>
      <c r="J125" s="33"/>
    </row>
    <row r="126" ht="15.75" customHeight="1" spans="1:10" s="1" customFormat="1" x14ac:dyDescent="0.25">
      <c r="A126" s="35"/>
      <c r="B126" s="36"/>
      <c r="C126" s="36"/>
      <c r="D126" s="36"/>
      <c r="E126" s="36"/>
      <c r="F126" s="36"/>
      <c r="G126" s="36"/>
      <c r="H126" s="36"/>
      <c r="I126" s="37"/>
      <c r="J126" s="36"/>
    </row>
    <row r="127" ht="15.75" customHeight="1" spans="1:10" s="1" customFormat="1" x14ac:dyDescent="0.25">
      <c r="A127" s="32"/>
      <c r="B127" s="33"/>
      <c r="C127" s="33"/>
      <c r="D127" s="33"/>
      <c r="E127" s="33"/>
      <c r="F127" s="33"/>
      <c r="G127" s="33"/>
      <c r="H127" s="33"/>
      <c r="I127" s="34"/>
      <c r="J127" s="33"/>
    </row>
    <row r="128" ht="15.75" customHeight="1" spans="1:10" s="1" customFormat="1" x14ac:dyDescent="0.25">
      <c r="A128" s="35"/>
      <c r="B128" s="36"/>
      <c r="C128" s="36"/>
      <c r="D128" s="36"/>
      <c r="E128" s="36"/>
      <c r="F128" s="36"/>
      <c r="G128" s="36"/>
      <c r="H128" s="36"/>
      <c r="I128" s="37"/>
      <c r="J128" s="36"/>
    </row>
    <row r="129" ht="15.75" customHeight="1" spans="1:10" s="1" customFormat="1" x14ac:dyDescent="0.25">
      <c r="A129" s="32"/>
      <c r="B129" s="33"/>
      <c r="C129" s="33"/>
      <c r="D129" s="33"/>
      <c r="E129" s="33"/>
      <c r="F129" s="33"/>
      <c r="G129" s="33"/>
      <c r="H129" s="33"/>
      <c r="I129" s="34"/>
      <c r="J129" s="33"/>
    </row>
    <row r="130" ht="15.75" customHeight="1" spans="1:10" s="1" customFormat="1" x14ac:dyDescent="0.25">
      <c r="A130" s="35"/>
      <c r="B130" s="36"/>
      <c r="C130" s="36"/>
      <c r="D130" s="36"/>
      <c r="E130" s="36"/>
      <c r="F130" s="36"/>
      <c r="G130" s="36"/>
      <c r="H130" s="36"/>
      <c r="I130" s="37"/>
      <c r="J130" s="36"/>
    </row>
    <row r="131" ht="15.75" customHeight="1" spans="1:10" s="1" customFormat="1" x14ac:dyDescent="0.25">
      <c r="A131" s="32"/>
      <c r="B131" s="33"/>
      <c r="C131" s="33"/>
      <c r="D131" s="33"/>
      <c r="E131" s="33"/>
      <c r="F131" s="33"/>
      <c r="G131" s="33"/>
      <c r="H131" s="33"/>
      <c r="I131" s="34"/>
      <c r="J131" s="33"/>
    </row>
    <row r="132" ht="15.75" customHeight="1" spans="1:10" s="1" customFormat="1" x14ac:dyDescent="0.25">
      <c r="A132" s="35"/>
      <c r="B132" s="36"/>
      <c r="C132" s="36"/>
      <c r="D132" s="36"/>
      <c r="E132" s="36"/>
      <c r="F132" s="36"/>
      <c r="G132" s="36"/>
      <c r="H132" s="36"/>
      <c r="I132" s="37"/>
      <c r="J132" s="36"/>
    </row>
    <row r="133" ht="15.75" customHeight="1" spans="1:10" s="1" customFormat="1" x14ac:dyDescent="0.25">
      <c r="A133" s="32"/>
      <c r="B133" s="33"/>
      <c r="C133" s="33"/>
      <c r="D133" s="33"/>
      <c r="E133" s="33"/>
      <c r="F133" s="33"/>
      <c r="G133" s="33"/>
      <c r="H133" s="33"/>
      <c r="I133" s="34"/>
      <c r="J133" s="33"/>
    </row>
    <row r="134" ht="15.75" customHeight="1" spans="1:10" s="1" customFormat="1" x14ac:dyDescent="0.25">
      <c r="A134" s="35"/>
      <c r="B134" s="36"/>
      <c r="C134" s="36"/>
      <c r="D134" s="36"/>
      <c r="E134" s="36"/>
      <c r="F134" s="36"/>
      <c r="G134" s="36"/>
      <c r="H134" s="36"/>
      <c r="I134" s="37"/>
      <c r="J134" s="36"/>
    </row>
    <row r="135" ht="15.75" customHeight="1" spans="1:10" s="1" customFormat="1" x14ac:dyDescent="0.25">
      <c r="A135" s="32"/>
      <c r="B135" s="33"/>
      <c r="C135" s="33"/>
      <c r="D135" s="33"/>
      <c r="E135" s="33"/>
      <c r="F135" s="33"/>
      <c r="G135" s="33"/>
      <c r="H135" s="33"/>
      <c r="I135" s="34"/>
      <c r="J135" s="33"/>
    </row>
    <row r="136" ht="15.75" customHeight="1" spans="1:10" s="1" customFormat="1" x14ac:dyDescent="0.25">
      <c r="A136" s="35"/>
      <c r="B136" s="36"/>
      <c r="C136" s="36"/>
      <c r="D136" s="36"/>
      <c r="E136" s="36"/>
      <c r="F136" s="36"/>
      <c r="G136" s="36"/>
      <c r="H136" s="36"/>
      <c r="I136" s="37"/>
      <c r="J136" s="36"/>
    </row>
    <row r="137" ht="15.75" customHeight="1" spans="1:10" s="1" customFormat="1" x14ac:dyDescent="0.25">
      <c r="A137" s="32"/>
      <c r="B137" s="33"/>
      <c r="C137" s="33"/>
      <c r="D137" s="33"/>
      <c r="E137" s="33"/>
      <c r="F137" s="33"/>
      <c r="G137" s="33"/>
      <c r="H137" s="33"/>
      <c r="I137" s="34"/>
      <c r="J137" s="33"/>
    </row>
    <row r="138" ht="15.75" customHeight="1" spans="1:10" s="1" customFormat="1" x14ac:dyDescent="0.25">
      <c r="A138" s="35"/>
      <c r="B138" s="36"/>
      <c r="C138" s="36"/>
      <c r="D138" s="36"/>
      <c r="E138" s="36"/>
      <c r="F138" s="36"/>
      <c r="G138" s="36"/>
      <c r="H138" s="36"/>
      <c r="I138" s="37"/>
      <c r="J138" s="36"/>
    </row>
    <row r="139" ht="15.75" customHeight="1" spans="1:10" s="1" customFormat="1" x14ac:dyDescent="0.25">
      <c r="A139" s="32"/>
      <c r="B139" s="33"/>
      <c r="C139" s="33"/>
      <c r="D139" s="33"/>
      <c r="E139" s="33"/>
      <c r="F139" s="33"/>
      <c r="G139" s="33"/>
      <c r="H139" s="33"/>
      <c r="I139" s="34"/>
      <c r="J139" s="33"/>
    </row>
    <row r="140" ht="15.75" customHeight="1" spans="1:10" s="1" customFormat="1" x14ac:dyDescent="0.25">
      <c r="A140" s="35"/>
      <c r="B140" s="36"/>
      <c r="C140" s="36"/>
      <c r="D140" s="36"/>
      <c r="E140" s="36"/>
      <c r="F140" s="36"/>
      <c r="G140" s="36"/>
      <c r="H140" s="36"/>
      <c r="I140" s="37"/>
      <c r="J140" s="36"/>
    </row>
    <row r="141" ht="15.75" customHeight="1" spans="1:10" s="1" customFormat="1" x14ac:dyDescent="0.25">
      <c r="A141" s="32"/>
      <c r="B141" s="33"/>
      <c r="C141" s="33"/>
      <c r="D141" s="33"/>
      <c r="E141" s="33"/>
      <c r="F141" s="33"/>
      <c r="G141" s="33"/>
      <c r="H141" s="33"/>
      <c r="I141" s="34"/>
      <c r="J141" s="33"/>
    </row>
    <row r="142" ht="15.75" customHeight="1" spans="1:10" s="1" customFormat="1" x14ac:dyDescent="0.25">
      <c r="A142" s="35"/>
      <c r="B142" s="36"/>
      <c r="C142" s="36"/>
      <c r="D142" s="36"/>
      <c r="E142" s="36"/>
      <c r="F142" s="36"/>
      <c r="G142" s="36"/>
      <c r="H142" s="36"/>
      <c r="I142" s="37"/>
      <c r="J142" s="36"/>
    </row>
    <row r="143" ht="15.75" customHeight="1" spans="1:10" s="1" customFormat="1" x14ac:dyDescent="0.25">
      <c r="A143" s="32"/>
      <c r="B143" s="33"/>
      <c r="C143" s="33"/>
      <c r="D143" s="33"/>
      <c r="E143" s="33"/>
      <c r="F143" s="33"/>
      <c r="G143" s="33"/>
      <c r="H143" s="33"/>
      <c r="I143" s="34"/>
      <c r="J143" s="33"/>
    </row>
    <row r="144" ht="15.75" customHeight="1" spans="1:10" s="1" customFormat="1" x14ac:dyDescent="0.25">
      <c r="A144" s="35"/>
      <c r="B144" s="36"/>
      <c r="C144" s="36"/>
      <c r="D144" s="36"/>
      <c r="E144" s="36"/>
      <c r="F144" s="36"/>
      <c r="G144" s="36"/>
      <c r="H144" s="36"/>
      <c r="I144" s="37"/>
      <c r="J144" s="36"/>
    </row>
    <row r="145" ht="15.75" customHeight="1" spans="1:10" s="1" customFormat="1" x14ac:dyDescent="0.25">
      <c r="A145" s="32"/>
      <c r="B145" s="33"/>
      <c r="C145" s="33"/>
      <c r="D145" s="33"/>
      <c r="E145" s="33"/>
      <c r="F145" s="33"/>
      <c r="G145" s="33"/>
      <c r="H145" s="33"/>
      <c r="I145" s="34"/>
      <c r="J145" s="33"/>
    </row>
    <row r="146" ht="15.75" customHeight="1" spans="1:10" s="1" customFormat="1" x14ac:dyDescent="0.25">
      <c r="A146" s="35"/>
      <c r="B146" s="36"/>
      <c r="C146" s="36"/>
      <c r="D146" s="36"/>
      <c r="E146" s="36"/>
      <c r="F146" s="36"/>
      <c r="G146" s="36"/>
      <c r="H146" s="36"/>
      <c r="I146" s="37"/>
      <c r="J146" s="36"/>
    </row>
    <row r="147" ht="15.75" customHeight="1" spans="1:10" s="1" customFormat="1" x14ac:dyDescent="0.25">
      <c r="A147" s="32"/>
      <c r="B147" s="33"/>
      <c r="C147" s="33"/>
      <c r="D147" s="33"/>
      <c r="E147" s="33"/>
      <c r="F147" s="33"/>
      <c r="G147" s="33"/>
      <c r="H147" s="33"/>
      <c r="I147" s="34"/>
      <c r="J147" s="33"/>
    </row>
    <row r="148" ht="15.75" customHeight="1" spans="1:10" s="1" customFormat="1" x14ac:dyDescent="0.25">
      <c r="A148" s="35"/>
      <c r="B148" s="36"/>
      <c r="C148" s="36"/>
      <c r="D148" s="36"/>
      <c r="E148" s="36"/>
      <c r="F148" s="36"/>
      <c r="G148" s="36"/>
      <c r="H148" s="36"/>
      <c r="I148" s="37"/>
      <c r="J148" s="36"/>
    </row>
    <row r="149" ht="15.75" customHeight="1" spans="1:10" s="1" customFormat="1" x14ac:dyDescent="0.25">
      <c r="A149" s="32"/>
      <c r="B149" s="33"/>
      <c r="C149" s="33"/>
      <c r="D149" s="33"/>
      <c r="E149" s="33"/>
      <c r="F149" s="33"/>
      <c r="G149" s="33"/>
      <c r="H149" s="33"/>
      <c r="I149" s="34"/>
      <c r="J149" s="33"/>
    </row>
    <row r="150" ht="15.75" customHeight="1" spans="1:10" s="1" customFormat="1" x14ac:dyDescent="0.25">
      <c r="A150" s="35"/>
      <c r="B150" s="36"/>
      <c r="C150" s="36"/>
      <c r="D150" s="36"/>
      <c r="E150" s="36"/>
      <c r="F150" s="36"/>
      <c r="G150" s="36"/>
      <c r="H150" s="36"/>
      <c r="I150" s="37"/>
      <c r="J150" s="36"/>
    </row>
    <row r="151" ht="15.75" customHeight="1" spans="1:10" s="1" customFormat="1" x14ac:dyDescent="0.25">
      <c r="A151" s="32"/>
      <c r="B151" s="33"/>
      <c r="C151" s="33"/>
      <c r="D151" s="33"/>
      <c r="E151" s="33"/>
      <c r="F151" s="33"/>
      <c r="G151" s="33"/>
      <c r="H151" s="33"/>
      <c r="I151" s="34"/>
      <c r="J151" s="33"/>
    </row>
    <row r="152" ht="15.75" customHeight="1" spans="1:10" s="1" customFormat="1" x14ac:dyDescent="0.25">
      <c r="A152" s="35"/>
      <c r="B152" s="36"/>
      <c r="C152" s="36"/>
      <c r="D152" s="36"/>
      <c r="E152" s="36"/>
      <c r="F152" s="36"/>
      <c r="G152" s="36"/>
      <c r="H152" s="36"/>
      <c r="I152" s="37"/>
      <c r="J152" s="36"/>
    </row>
    <row r="153" ht="15.75" customHeight="1" spans="1:10" s="1" customFormat="1" x14ac:dyDescent="0.25">
      <c r="A153" s="32"/>
      <c r="B153" s="33"/>
      <c r="C153" s="33"/>
      <c r="D153" s="33"/>
      <c r="E153" s="33"/>
      <c r="F153" s="33"/>
      <c r="G153" s="33"/>
      <c r="H153" s="33"/>
      <c r="I153" s="34"/>
      <c r="J153" s="33"/>
    </row>
    <row r="154" ht="15.75" customHeight="1" spans="1:10" s="1" customFormat="1" x14ac:dyDescent="0.25">
      <c r="A154" s="35"/>
      <c r="B154" s="36"/>
      <c r="C154" s="36"/>
      <c r="D154" s="36"/>
      <c r="E154" s="36"/>
      <c r="F154" s="36"/>
      <c r="G154" s="36"/>
      <c r="H154" s="36"/>
      <c r="I154" s="37"/>
      <c r="J154" s="36"/>
    </row>
    <row r="155" ht="15.75" customHeight="1" spans="1:10" s="1" customFormat="1" x14ac:dyDescent="0.25">
      <c r="A155" s="32"/>
      <c r="B155" s="33"/>
      <c r="C155" s="33"/>
      <c r="D155" s="33"/>
      <c r="E155" s="33"/>
      <c r="F155" s="33"/>
      <c r="G155" s="33"/>
      <c r="H155" s="33"/>
      <c r="I155" s="34"/>
      <c r="J155" s="33"/>
    </row>
    <row r="156" ht="15.75" customHeight="1" spans="1:10" s="1" customFormat="1" x14ac:dyDescent="0.25">
      <c r="A156" s="35"/>
      <c r="B156" s="36"/>
      <c r="C156" s="36"/>
      <c r="D156" s="36"/>
      <c r="E156" s="36"/>
      <c r="F156" s="36"/>
      <c r="G156" s="36"/>
      <c r="H156" s="36"/>
      <c r="I156" s="37"/>
      <c r="J156" s="36"/>
    </row>
    <row r="157" ht="15.75" customHeight="1" spans="1:10" s="1" customFormat="1" x14ac:dyDescent="0.25">
      <c r="A157" s="32"/>
      <c r="B157" s="33"/>
      <c r="C157" s="33"/>
      <c r="D157" s="33"/>
      <c r="E157" s="33"/>
      <c r="F157" s="33"/>
      <c r="G157" s="33"/>
      <c r="H157" s="33"/>
      <c r="I157" s="34"/>
      <c r="J157" s="33"/>
    </row>
    <row r="158" ht="15.75" customHeight="1" spans="1:10" s="1" customFormat="1" x14ac:dyDescent="0.25">
      <c r="A158" s="35"/>
      <c r="B158" s="36"/>
      <c r="C158" s="36"/>
      <c r="D158" s="36"/>
      <c r="E158" s="36"/>
      <c r="F158" s="36"/>
      <c r="G158" s="36"/>
      <c r="H158" s="36"/>
      <c r="I158" s="37"/>
      <c r="J158" s="36"/>
    </row>
    <row r="159" ht="15.75" customHeight="1" spans="1:10" s="1" customFormat="1" x14ac:dyDescent="0.25">
      <c r="A159" s="32"/>
      <c r="B159" s="33"/>
      <c r="C159" s="33"/>
      <c r="D159" s="33"/>
      <c r="E159" s="33"/>
      <c r="F159" s="33"/>
      <c r="G159" s="33"/>
      <c r="H159" s="33"/>
      <c r="I159" s="34"/>
      <c r="J159" s="33"/>
    </row>
    <row r="160" ht="15.75" customHeight="1" spans="1:10" s="1" customFormat="1" x14ac:dyDescent="0.25">
      <c r="A160" s="35"/>
      <c r="B160" s="36"/>
      <c r="C160" s="36"/>
      <c r="D160" s="36"/>
      <c r="E160" s="36"/>
      <c r="F160" s="36"/>
      <c r="G160" s="36"/>
      <c r="H160" s="36"/>
      <c r="I160" s="37"/>
      <c r="J160" s="36"/>
    </row>
    <row r="161" ht="15.75" customHeight="1" spans="1:10" s="1" customFormat="1" x14ac:dyDescent="0.25">
      <c r="A161" s="32"/>
      <c r="B161" s="33"/>
      <c r="C161" s="33"/>
      <c r="D161" s="33"/>
      <c r="E161" s="33"/>
      <c r="F161" s="33"/>
      <c r="G161" s="33"/>
      <c r="H161" s="33"/>
      <c r="I161" s="34"/>
      <c r="J161" s="33"/>
    </row>
    <row r="162" ht="15.75" customHeight="1" spans="1:10" s="1" customFormat="1" x14ac:dyDescent="0.25">
      <c r="A162" s="35"/>
      <c r="B162" s="36"/>
      <c r="C162" s="36"/>
      <c r="D162" s="36"/>
      <c r="E162" s="36"/>
      <c r="F162" s="36"/>
      <c r="G162" s="36"/>
      <c r="H162" s="36"/>
      <c r="I162" s="37"/>
      <c r="J162" s="36"/>
    </row>
    <row r="163" ht="15.75" customHeight="1" spans="1:10" s="1" customFormat="1" x14ac:dyDescent="0.25">
      <c r="A163" s="32"/>
      <c r="B163" s="33"/>
      <c r="C163" s="33"/>
      <c r="D163" s="33"/>
      <c r="E163" s="33"/>
      <c r="F163" s="33"/>
      <c r="G163" s="33"/>
      <c r="H163" s="33"/>
      <c r="I163" s="34"/>
      <c r="J163" s="33"/>
    </row>
    <row r="164" ht="15.75" customHeight="1" spans="1:10" s="1" customFormat="1" x14ac:dyDescent="0.25">
      <c r="A164" s="35"/>
      <c r="B164" s="36"/>
      <c r="C164" s="36"/>
      <c r="D164" s="36"/>
      <c r="E164" s="36"/>
      <c r="F164" s="36"/>
      <c r="G164" s="36"/>
      <c r="H164" s="36"/>
      <c r="I164" s="37"/>
      <c r="J164" s="36"/>
    </row>
    <row r="165" ht="15.75" customHeight="1" spans="1:10" s="1" customFormat="1" x14ac:dyDescent="0.25">
      <c r="A165" s="32"/>
      <c r="B165" s="33"/>
      <c r="C165" s="33"/>
      <c r="D165" s="33"/>
      <c r="E165" s="33"/>
      <c r="F165" s="33"/>
      <c r="G165" s="33"/>
      <c r="H165" s="33"/>
      <c r="I165" s="34"/>
      <c r="J165" s="33"/>
    </row>
    <row r="166" ht="15.75" customHeight="1" spans="1:10" s="1" customFormat="1" x14ac:dyDescent="0.25">
      <c r="A166" s="35"/>
      <c r="B166" s="36"/>
      <c r="C166" s="36"/>
      <c r="D166" s="36"/>
      <c r="E166" s="36"/>
      <c r="F166" s="36"/>
      <c r="G166" s="36"/>
      <c r="H166" s="36"/>
      <c r="I166" s="37"/>
      <c r="J166" s="36"/>
    </row>
    <row r="167" ht="15.75" customHeight="1" spans="1:10" s="1" customFormat="1" x14ac:dyDescent="0.25">
      <c r="A167" s="32"/>
      <c r="B167" s="33"/>
      <c r="C167" s="33"/>
      <c r="D167" s="33"/>
      <c r="E167" s="33"/>
      <c r="F167" s="33"/>
      <c r="G167" s="33"/>
      <c r="H167" s="33"/>
      <c r="I167" s="34"/>
      <c r="J167" s="33"/>
    </row>
    <row r="168" ht="15.75" customHeight="1" spans="1:10" s="1" customFormat="1" x14ac:dyDescent="0.25">
      <c r="A168" s="35"/>
      <c r="B168" s="36"/>
      <c r="C168" s="36"/>
      <c r="D168" s="36"/>
      <c r="E168" s="36"/>
      <c r="F168" s="36"/>
      <c r="G168" s="36"/>
      <c r="H168" s="36"/>
      <c r="I168" s="37"/>
      <c r="J168" s="36"/>
    </row>
    <row r="169" ht="15.75" customHeight="1" spans="1:10" s="1" customFormat="1" x14ac:dyDescent="0.25">
      <c r="A169" s="32"/>
      <c r="B169" s="33"/>
      <c r="C169" s="33"/>
      <c r="D169" s="33"/>
      <c r="E169" s="33"/>
      <c r="F169" s="33"/>
      <c r="G169" s="33"/>
      <c r="H169" s="33"/>
      <c r="I169" s="34"/>
      <c r="J169" s="33"/>
    </row>
    <row r="170" ht="15.75" customHeight="1" spans="1:10" s="1" customFormat="1" x14ac:dyDescent="0.25">
      <c r="A170" s="35"/>
      <c r="B170" s="36"/>
      <c r="C170" s="36"/>
      <c r="D170" s="36"/>
      <c r="E170" s="36"/>
      <c r="F170" s="36"/>
      <c r="G170" s="36"/>
      <c r="H170" s="36"/>
      <c r="I170" s="37"/>
      <c r="J170" s="36"/>
    </row>
    <row r="171" ht="15.75" customHeight="1" spans="1:10" s="1" customFormat="1" x14ac:dyDescent="0.25">
      <c r="A171" s="32"/>
      <c r="B171" s="33"/>
      <c r="C171" s="33"/>
      <c r="D171" s="33"/>
      <c r="E171" s="33"/>
      <c r="F171" s="33"/>
      <c r="G171" s="33"/>
      <c r="H171" s="33"/>
      <c r="I171" s="34"/>
      <c r="J171" s="33"/>
    </row>
    <row r="172" ht="15.75" customHeight="1" spans="1:10" s="1" customFormat="1" x14ac:dyDescent="0.25">
      <c r="A172" s="35"/>
      <c r="B172" s="36"/>
      <c r="C172" s="36"/>
      <c r="D172" s="36"/>
      <c r="E172" s="36"/>
      <c r="F172" s="36"/>
      <c r="G172" s="36"/>
      <c r="H172" s="36"/>
      <c r="I172" s="37"/>
      <c r="J172" s="36"/>
    </row>
    <row r="173" ht="15.75" customHeight="1" spans="1:10" s="1" customFormat="1" x14ac:dyDescent="0.25">
      <c r="A173" s="32"/>
      <c r="B173" s="33"/>
      <c r="C173" s="33"/>
      <c r="D173" s="33"/>
      <c r="E173" s="33"/>
      <c r="F173" s="33"/>
      <c r="G173" s="33"/>
      <c r="H173" s="33"/>
      <c r="I173" s="34"/>
      <c r="J173" s="33"/>
    </row>
    <row r="174" ht="15.75" customHeight="1" spans="1:10" s="1" customFormat="1" x14ac:dyDescent="0.25">
      <c r="A174" s="35"/>
      <c r="B174" s="36"/>
      <c r="C174" s="36"/>
      <c r="D174" s="36"/>
      <c r="E174" s="36"/>
      <c r="F174" s="36"/>
      <c r="G174" s="36"/>
      <c r="H174" s="36"/>
      <c r="I174" s="37"/>
      <c r="J174" s="36"/>
    </row>
    <row r="175" ht="15.75" customHeight="1" spans="1:10" s="1" customFormat="1" x14ac:dyDescent="0.25">
      <c r="A175" s="32"/>
      <c r="B175" s="33"/>
      <c r="C175" s="33"/>
      <c r="D175" s="33"/>
      <c r="E175" s="33"/>
      <c r="F175" s="33"/>
      <c r="G175" s="33"/>
      <c r="H175" s="33"/>
      <c r="I175" s="34"/>
      <c r="J175" s="33"/>
    </row>
    <row r="176" ht="15.75" customHeight="1" spans="1:10" s="1" customFormat="1" x14ac:dyDescent="0.25">
      <c r="A176" s="35"/>
      <c r="B176" s="36"/>
      <c r="C176" s="36"/>
      <c r="D176" s="36"/>
      <c r="E176" s="36"/>
      <c r="F176" s="36"/>
      <c r="G176" s="36"/>
      <c r="H176" s="36"/>
      <c r="I176" s="37"/>
      <c r="J176" s="36"/>
    </row>
    <row r="177" ht="15.75" customHeight="1" spans="1:10" s="1" customFormat="1" x14ac:dyDescent="0.25">
      <c r="A177" s="32"/>
      <c r="B177" s="33"/>
      <c r="C177" s="33"/>
      <c r="D177" s="33"/>
      <c r="E177" s="33"/>
      <c r="F177" s="33"/>
      <c r="G177" s="33"/>
      <c r="H177" s="33"/>
      <c r="I177" s="34"/>
      <c r="J177" s="33"/>
    </row>
    <row r="178" ht="15.75" customHeight="1" spans="1:10" s="1" customFormat="1" x14ac:dyDescent="0.25">
      <c r="A178" s="35"/>
      <c r="B178" s="36"/>
      <c r="C178" s="36"/>
      <c r="D178" s="36"/>
      <c r="E178" s="36"/>
      <c r="F178" s="36"/>
      <c r="G178" s="36"/>
      <c r="H178" s="36"/>
      <c r="I178" s="37"/>
      <c r="J178" s="36"/>
    </row>
    <row r="179" ht="15.75" customHeight="1" spans="1:10" s="1" customFormat="1" x14ac:dyDescent="0.25">
      <c r="A179" s="32"/>
      <c r="B179" s="33"/>
      <c r="C179" s="33"/>
      <c r="D179" s="33"/>
      <c r="E179" s="33"/>
      <c r="F179" s="33"/>
      <c r="G179" s="33"/>
      <c r="H179" s="33"/>
      <c r="I179" s="34"/>
      <c r="J179" s="33"/>
    </row>
    <row r="180" ht="15.75" customHeight="1" spans="1:10" s="1" customFormat="1" x14ac:dyDescent="0.25">
      <c r="A180" s="35"/>
      <c r="B180" s="36"/>
      <c r="C180" s="36"/>
      <c r="D180" s="36"/>
      <c r="E180" s="36"/>
      <c r="F180" s="36"/>
      <c r="G180" s="36"/>
      <c r="H180" s="36"/>
      <c r="I180" s="37"/>
      <c r="J180" s="36"/>
    </row>
    <row r="181" ht="15.75" customHeight="1" spans="1:10" s="1" customFormat="1" x14ac:dyDescent="0.25">
      <c r="A181" s="32"/>
      <c r="B181" s="33"/>
      <c r="C181" s="33"/>
      <c r="D181" s="33"/>
      <c r="E181" s="33"/>
      <c r="F181" s="33"/>
      <c r="G181" s="33"/>
      <c r="H181" s="33"/>
      <c r="I181" s="34"/>
      <c r="J181" s="33"/>
    </row>
    <row r="182" ht="15.75" customHeight="1" spans="1:10" s="1" customFormat="1" x14ac:dyDescent="0.25">
      <c r="A182" s="35"/>
      <c r="B182" s="36"/>
      <c r="C182" s="36"/>
      <c r="D182" s="36"/>
      <c r="E182" s="36"/>
      <c r="F182" s="36"/>
      <c r="G182" s="36"/>
      <c r="H182" s="36"/>
      <c r="I182" s="37"/>
      <c r="J182" s="36"/>
    </row>
    <row r="183" ht="15.75" customHeight="1" spans="1:10" s="1" customFormat="1" x14ac:dyDescent="0.25">
      <c r="A183" s="32"/>
      <c r="B183" s="33"/>
      <c r="C183" s="33"/>
      <c r="D183" s="33"/>
      <c r="E183" s="33"/>
      <c r="F183" s="33"/>
      <c r="G183" s="33"/>
      <c r="H183" s="33"/>
      <c r="I183" s="34"/>
      <c r="J183" s="33"/>
    </row>
    <row r="184" ht="15.75" customHeight="1" spans="1:10" s="1" customFormat="1" x14ac:dyDescent="0.25">
      <c r="A184" s="35"/>
      <c r="B184" s="36"/>
      <c r="C184" s="36"/>
      <c r="D184" s="36"/>
      <c r="E184" s="36"/>
      <c r="F184" s="36"/>
      <c r="G184" s="36"/>
      <c r="H184" s="36"/>
      <c r="I184" s="37"/>
      <c r="J184" s="36"/>
    </row>
    <row r="185" ht="15.75" customHeight="1" spans="1:10" s="1" customFormat="1" x14ac:dyDescent="0.25">
      <c r="A185" s="32"/>
      <c r="B185" s="33"/>
      <c r="C185" s="33"/>
      <c r="D185" s="33"/>
      <c r="E185" s="33"/>
      <c r="F185" s="33"/>
      <c r="G185" s="33"/>
      <c r="H185" s="33"/>
      <c r="I185" s="34"/>
      <c r="J185" s="33"/>
    </row>
    <row r="186" ht="15.75" customHeight="1" spans="1:10" s="1" customFormat="1" x14ac:dyDescent="0.25">
      <c r="A186" s="35"/>
      <c r="B186" s="36"/>
      <c r="C186" s="36"/>
      <c r="D186" s="36"/>
      <c r="E186" s="36"/>
      <c r="F186" s="36"/>
      <c r="G186" s="36"/>
      <c r="H186" s="36"/>
      <c r="I186" s="37"/>
      <c r="J186" s="36"/>
    </row>
    <row r="187" ht="15.75" customHeight="1" spans="1:10" s="1" customFormat="1" x14ac:dyDescent="0.25">
      <c r="A187" s="32"/>
      <c r="B187" s="33"/>
      <c r="C187" s="33"/>
      <c r="D187" s="33"/>
      <c r="E187" s="33"/>
      <c r="F187" s="33"/>
      <c r="G187" s="33"/>
      <c r="H187" s="33"/>
      <c r="I187" s="34"/>
      <c r="J187" s="33"/>
    </row>
    <row r="188" ht="15.75" customHeight="1" spans="1:10" s="1" customFormat="1" x14ac:dyDescent="0.25">
      <c r="A188" s="35"/>
      <c r="B188" s="36"/>
      <c r="C188" s="36"/>
      <c r="D188" s="36"/>
      <c r="E188" s="36"/>
      <c r="F188" s="36"/>
      <c r="G188" s="36"/>
      <c r="H188" s="36"/>
      <c r="I188" s="37"/>
      <c r="J188" s="36"/>
    </row>
    <row r="189" ht="15.75" customHeight="1" spans="1:10" s="1" customFormat="1" x14ac:dyDescent="0.25">
      <c r="A189" s="32"/>
      <c r="B189" s="33"/>
      <c r="C189" s="33"/>
      <c r="D189" s="33"/>
      <c r="E189" s="33"/>
      <c r="F189" s="33"/>
      <c r="G189" s="33"/>
      <c r="H189" s="33"/>
      <c r="I189" s="34"/>
      <c r="J189" s="33"/>
    </row>
    <row r="190" ht="15.75" customHeight="1" spans="1:10" s="1" customFormat="1" x14ac:dyDescent="0.25">
      <c r="A190" s="35"/>
      <c r="B190" s="36"/>
      <c r="C190" s="36"/>
      <c r="D190" s="36"/>
      <c r="E190" s="36"/>
      <c r="F190" s="36"/>
      <c r="G190" s="36"/>
      <c r="H190" s="36"/>
      <c r="I190" s="37"/>
      <c r="J190" s="36"/>
    </row>
    <row r="191" ht="15.75" customHeight="1" spans="1:10" s="1" customFormat="1" x14ac:dyDescent="0.25">
      <c r="A191" s="32"/>
      <c r="B191" s="33"/>
      <c r="C191" s="33"/>
      <c r="D191" s="33"/>
      <c r="E191" s="33"/>
      <c r="F191" s="33"/>
      <c r="G191" s="33"/>
      <c r="H191" s="33"/>
      <c r="I191" s="34"/>
      <c r="J191" s="33"/>
    </row>
    <row r="192" ht="15.75" customHeight="1" spans="1:10" s="1" customFormat="1" x14ac:dyDescent="0.25">
      <c r="A192" s="35"/>
      <c r="B192" s="36"/>
      <c r="C192" s="36"/>
      <c r="D192" s="36"/>
      <c r="E192" s="36"/>
      <c r="F192" s="36"/>
      <c r="G192" s="36"/>
      <c r="H192" s="36"/>
      <c r="I192" s="37"/>
      <c r="J192" s="36"/>
    </row>
    <row r="193" ht="15.75" customHeight="1" spans="1:10" s="1" customFormat="1" x14ac:dyDescent="0.25">
      <c r="A193" s="32"/>
      <c r="B193" s="33"/>
      <c r="C193" s="33"/>
      <c r="D193" s="33"/>
      <c r="E193" s="33"/>
      <c r="F193" s="33"/>
      <c r="G193" s="33"/>
      <c r="H193" s="33"/>
      <c r="I193" s="34"/>
      <c r="J193" s="33"/>
    </row>
    <row r="194" ht="15.75" customHeight="1" spans="1:10" s="1" customFormat="1" x14ac:dyDescent="0.25">
      <c r="A194" s="35"/>
      <c r="B194" s="36"/>
      <c r="C194" s="36"/>
      <c r="D194" s="36"/>
      <c r="E194" s="36"/>
      <c r="F194" s="36"/>
      <c r="G194" s="36"/>
      <c r="H194" s="36"/>
      <c r="I194" s="37"/>
      <c r="J194" s="36"/>
    </row>
    <row r="195" ht="15.75" customHeight="1" spans="1:10" s="1" customFormat="1" x14ac:dyDescent="0.25">
      <c r="A195" s="32"/>
      <c r="B195" s="33"/>
      <c r="C195" s="33"/>
      <c r="D195" s="33"/>
      <c r="E195" s="33"/>
      <c r="F195" s="33"/>
      <c r="G195" s="33"/>
      <c r="H195" s="33"/>
      <c r="I195" s="34"/>
      <c r="J195" s="33"/>
    </row>
    <row r="196" ht="15.75" customHeight="1" spans="1:10" s="1" customFormat="1" x14ac:dyDescent="0.25">
      <c r="A196" s="35"/>
      <c r="B196" s="36"/>
      <c r="C196" s="36"/>
      <c r="D196" s="36"/>
      <c r="E196" s="36"/>
      <c r="F196" s="36"/>
      <c r="G196" s="36"/>
      <c r="H196" s="36"/>
      <c r="I196" s="37"/>
      <c r="J196" s="36"/>
    </row>
    <row r="197" ht="15.75" customHeight="1" spans="1:10" s="1" customFormat="1" x14ac:dyDescent="0.25">
      <c r="A197" s="32"/>
      <c r="B197" s="33"/>
      <c r="C197" s="33"/>
      <c r="D197" s="33"/>
      <c r="E197" s="33"/>
      <c r="F197" s="33"/>
      <c r="G197" s="33"/>
      <c r="H197" s="33"/>
      <c r="I197" s="34"/>
      <c r="J197" s="33"/>
    </row>
    <row r="198" ht="15.75" customHeight="1" spans="1:10" s="1" customFormat="1" x14ac:dyDescent="0.25">
      <c r="A198" s="35"/>
      <c r="B198" s="36"/>
      <c r="C198" s="36"/>
      <c r="D198" s="36"/>
      <c r="E198" s="36"/>
      <c r="F198" s="36"/>
      <c r="G198" s="36"/>
      <c r="H198" s="36"/>
      <c r="I198" s="37"/>
      <c r="J198" s="36"/>
    </row>
    <row r="199" ht="15.75" customHeight="1" spans="1:10" s="1" customFormat="1" x14ac:dyDescent="0.25">
      <c r="A199" s="32"/>
      <c r="B199" s="33"/>
      <c r="C199" s="33"/>
      <c r="D199" s="33"/>
      <c r="E199" s="33"/>
      <c r="F199" s="33"/>
      <c r="G199" s="33"/>
      <c r="H199" s="33"/>
      <c r="I199" s="34"/>
      <c r="J199" s="33"/>
    </row>
    <row r="200" ht="15.75" customHeight="1" spans="1:10" s="1" customFormat="1" x14ac:dyDescent="0.25">
      <c r="A200" s="35"/>
      <c r="B200" s="36"/>
      <c r="C200" s="36"/>
      <c r="D200" s="36"/>
      <c r="E200" s="36"/>
      <c r="F200" s="36"/>
      <c r="G200" s="36"/>
      <c r="H200" s="36"/>
      <c r="I200" s="37"/>
      <c r="J200" s="36"/>
    </row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J1"/>
    <mergeCell ref="A2:J2"/>
    <mergeCell ref="A3:J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1" style="1" customWidth="1"/>
    <col min="2" max="2" width="32" style="1" customWidth="1"/>
    <col min="3" max="3" width="16" style="1" customWidth="1"/>
    <col min="4" max="4" width="9" style="1" customWidth="1"/>
    <col min="5" max="6" width="13" style="1" customWidth="1"/>
    <col min="7" max="7" width="11" style="1" customWidth="1"/>
    <col min="8" max="8" width="12" style="1" customWidth="1"/>
    <col min="9" max="9" width="13" style="1" customWidth="1"/>
    <col min="10" max="10" width="16" style="1" customWidth="1"/>
    <col min="11" max="11" width="15" style="1" customWidth="1"/>
    <col min="12" max="12" width="24" style="1" customWidth="1"/>
    <col min="13" max="26" width="8.71" style="1" customWidth="1"/>
  </cols>
  <sheetData>
    <row r="1" ht="27.75" customHeight="1" spans="1:12" s="1" customForma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s="1" customFormat="1" x14ac:dyDescent="0.25">
      <c r="A2" s="8" t="s">
        <v>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8" customHeight="1" spans="1:12" s="1" customFormat="1" x14ac:dyDescent="0.25">
      <c r="A3" s="9" t="s">
        <v>92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1.5" customHeight="1" spans="1:12" s="1" customFormat="1" x14ac:dyDescent="0.25">
      <c r="A4" s="22" t="s">
        <v>93</v>
      </c>
      <c r="B4" s="22" t="s">
        <v>94</v>
      </c>
      <c r="C4" s="22" t="s">
        <v>95</v>
      </c>
      <c r="D4" s="22" t="s">
        <v>96</v>
      </c>
      <c r="E4" s="22" t="s">
        <v>97</v>
      </c>
      <c r="F4" s="22" t="s">
        <v>98</v>
      </c>
      <c r="G4" s="22" t="s">
        <v>99</v>
      </c>
      <c r="H4" s="22" t="s">
        <v>100</v>
      </c>
      <c r="I4" s="22" t="s">
        <v>101</v>
      </c>
      <c r="J4" s="22" t="s">
        <v>102</v>
      </c>
      <c r="K4" s="22" t="s">
        <v>103</v>
      </c>
      <c r="L4" s="22" t="s">
        <v>73</v>
      </c>
    </row>
    <row r="5" spans="1:12" x14ac:dyDescent="0.25">
      <c r="A5" s="38" t="s">
        <v>104</v>
      </c>
      <c r="B5" s="38" t="s">
        <v>105</v>
      </c>
      <c r="C5" s="38" t="s">
        <v>106</v>
      </c>
      <c r="D5" s="38" t="s">
        <v>107</v>
      </c>
      <c r="E5" s="39">
        <v>11</v>
      </c>
      <c r="F5" s="39">
        <v>49.97</v>
      </c>
      <c r="G5" s="40"/>
      <c r="H5" s="41">
        <v>0</v>
      </c>
      <c r="I5" s="42"/>
      <c r="J5" s="43"/>
      <c r="K5" s="33"/>
      <c r="L5" s="38"/>
    </row>
    <row r="6" spans="1:12" x14ac:dyDescent="0.25">
      <c r="A6" s="44" t="s">
        <v>108</v>
      </c>
      <c r="B6" s="44" t="s">
        <v>109</v>
      </c>
      <c r="C6" s="44" t="s">
        <v>110</v>
      </c>
      <c r="D6" s="44" t="s">
        <v>107</v>
      </c>
      <c r="E6" s="45">
        <v>30</v>
      </c>
      <c r="F6" s="45">
        <v>79.98</v>
      </c>
      <c r="G6" s="46"/>
      <c r="H6" s="47">
        <v>0</v>
      </c>
      <c r="I6" s="48"/>
      <c r="J6" s="49"/>
      <c r="K6" s="36"/>
      <c r="L6" s="44"/>
    </row>
    <row r="7" spans="1:12" x14ac:dyDescent="0.25">
      <c r="A7" s="38"/>
      <c r="B7" s="38"/>
      <c r="C7" s="38"/>
      <c r="D7" s="38"/>
      <c r="E7" s="39"/>
      <c r="F7" s="39"/>
      <c r="G7" s="40"/>
      <c r="H7" s="41"/>
      <c r="I7" s="42"/>
      <c r="J7" s="43"/>
      <c r="K7" s="33"/>
      <c r="L7" s="38"/>
    </row>
    <row r="8" spans="1:12" x14ac:dyDescent="0.25">
      <c r="A8" s="44"/>
      <c r="B8" s="44"/>
      <c r="C8" s="44"/>
      <c r="D8" s="44"/>
      <c r="E8" s="45"/>
      <c r="F8" s="45"/>
      <c r="G8" s="46"/>
      <c r="H8" s="47"/>
      <c r="I8" s="48"/>
      <c r="J8" s="49"/>
      <c r="K8" s="36"/>
      <c r="L8" s="44"/>
    </row>
    <row r="9" spans="1:12" x14ac:dyDescent="0.25">
      <c r="A9" s="38"/>
      <c r="B9" s="38"/>
      <c r="C9" s="38"/>
      <c r="D9" s="38"/>
      <c r="E9" s="39"/>
      <c r="F9" s="39"/>
      <c r="G9" s="40"/>
      <c r="H9" s="41"/>
      <c r="I9" s="42"/>
      <c r="J9" s="43"/>
      <c r="K9" s="33"/>
      <c r="L9" s="38"/>
    </row>
    <row r="10" spans="1:12" x14ac:dyDescent="0.25">
      <c r="A10" s="44"/>
      <c r="B10" s="44"/>
      <c r="C10" s="44"/>
      <c r="D10" s="44"/>
      <c r="E10" s="45"/>
      <c r="F10" s="45"/>
      <c r="G10" s="46"/>
      <c r="H10" s="47"/>
      <c r="I10" s="48"/>
      <c r="J10" s="49"/>
      <c r="K10" s="36"/>
      <c r="L10" s="44"/>
    </row>
    <row r="11" spans="1:12" x14ac:dyDescent="0.25">
      <c r="A11" s="38"/>
      <c r="B11" s="38"/>
      <c r="C11" s="38"/>
      <c r="D11" s="38"/>
      <c r="E11" s="39"/>
      <c r="F11" s="39"/>
      <c r="G11" s="40"/>
      <c r="H11" s="41"/>
      <c r="I11" s="42"/>
      <c r="J11" s="43"/>
      <c r="K11" s="33"/>
      <c r="L11" s="38"/>
    </row>
    <row r="12" spans="1:12" x14ac:dyDescent="0.25">
      <c r="A12" s="44"/>
      <c r="B12" s="44"/>
      <c r="C12" s="44"/>
      <c r="D12" s="44"/>
      <c r="E12" s="45"/>
      <c r="F12" s="45"/>
      <c r="G12" s="46"/>
      <c r="H12" s="47"/>
      <c r="I12" s="48"/>
      <c r="J12" s="49"/>
      <c r="K12" s="36"/>
      <c r="L12" s="44"/>
    </row>
    <row r="13" spans="1:12" x14ac:dyDescent="0.25">
      <c r="A13" s="50"/>
      <c r="B13" s="50"/>
      <c r="C13" s="50"/>
      <c r="D13" s="50"/>
      <c r="E13" s="51"/>
      <c r="F13" s="51"/>
      <c r="G13" s="52"/>
      <c r="H13" s="53"/>
      <c r="I13" s="54"/>
      <c r="J13" s="55"/>
      <c r="K13" s="56"/>
      <c r="L13" s="50"/>
    </row>
    <row r="14" spans="1:12" x14ac:dyDescent="0.25">
      <c r="A14" s="57"/>
      <c r="B14" s="57"/>
      <c r="C14" s="57"/>
      <c r="D14" s="57"/>
      <c r="E14" s="58"/>
      <c r="F14" s="58"/>
      <c r="G14" s="59"/>
      <c r="H14" s="60"/>
      <c r="I14" s="61"/>
      <c r="J14" s="62"/>
      <c r="K14" s="63"/>
      <c r="L14" s="57"/>
    </row>
    <row r="15" spans="1:12" x14ac:dyDescent="0.25">
      <c r="A15" s="50"/>
      <c r="B15" s="50"/>
      <c r="C15" s="50"/>
      <c r="D15" s="50"/>
      <c r="E15" s="51"/>
      <c r="F15" s="51"/>
      <c r="G15" s="52"/>
      <c r="H15" s="53"/>
      <c r="I15" s="54"/>
      <c r="J15" s="55"/>
      <c r="K15" s="56"/>
      <c r="L15" s="50"/>
    </row>
    <row r="16" spans="1:12" x14ac:dyDescent="0.25">
      <c r="A16" s="57"/>
      <c r="B16" s="57"/>
      <c r="C16" s="57"/>
      <c r="D16" s="57"/>
      <c r="E16" s="58"/>
      <c r="F16" s="58"/>
      <c r="G16" s="59"/>
      <c r="H16" s="60"/>
      <c r="I16" s="61"/>
      <c r="J16" s="62"/>
      <c r="K16" s="63"/>
      <c r="L16" s="57"/>
    </row>
    <row r="17" spans="1:12" x14ac:dyDescent="0.25">
      <c r="A17" s="50"/>
      <c r="B17" s="50"/>
      <c r="C17" s="50"/>
      <c r="D17" s="50"/>
      <c r="E17" s="51"/>
      <c r="F17" s="51"/>
      <c r="G17" s="52"/>
      <c r="H17" s="53"/>
      <c r="I17" s="54"/>
      <c r="J17" s="55"/>
      <c r="K17" s="56"/>
      <c r="L17" s="50"/>
    </row>
    <row r="18" spans="1:12" x14ac:dyDescent="0.25">
      <c r="A18" s="57"/>
      <c r="B18" s="57"/>
      <c r="C18" s="57"/>
      <c r="D18" s="57"/>
      <c r="E18" s="58"/>
      <c r="F18" s="58"/>
      <c r="G18" s="59"/>
      <c r="H18" s="60"/>
      <c r="I18" s="61"/>
      <c r="J18" s="62"/>
      <c r="K18" s="63"/>
      <c r="L18" s="57"/>
    </row>
    <row r="19" spans="1:12" x14ac:dyDescent="0.25">
      <c r="A19" s="50"/>
      <c r="B19" s="50"/>
      <c r="C19" s="50"/>
      <c r="D19" s="50"/>
      <c r="E19" s="51"/>
      <c r="F19" s="51"/>
      <c r="G19" s="52"/>
      <c r="H19" s="53"/>
      <c r="I19" s="54"/>
      <c r="J19" s="55"/>
      <c r="K19" s="56"/>
      <c r="L19" s="50"/>
    </row>
    <row r="20" spans="1:12" x14ac:dyDescent="0.25">
      <c r="A20" s="57"/>
      <c r="B20" s="57"/>
      <c r="C20" s="57"/>
      <c r="D20" s="57"/>
      <c r="E20" s="58"/>
      <c r="F20" s="58"/>
      <c r="G20" s="59"/>
      <c r="H20" s="60"/>
      <c r="I20" s="61"/>
      <c r="J20" s="62"/>
      <c r="K20" s="63"/>
      <c r="L20" s="57"/>
    </row>
    <row r="21" ht="15.75" customHeight="1" spans="1:12" s="1" customFormat="1" x14ac:dyDescent="0.25">
      <c r="A21" s="50"/>
      <c r="B21" s="50"/>
      <c r="C21" s="50"/>
      <c r="D21" s="50"/>
      <c r="E21" s="51"/>
      <c r="F21" s="51"/>
      <c r="G21" s="52"/>
      <c r="H21" s="53"/>
      <c r="I21" s="54"/>
      <c r="J21" s="55"/>
      <c r="K21" s="56"/>
      <c r="L21" s="50"/>
    </row>
    <row r="22" ht="15.75" customHeight="1" spans="1:12" s="1" customFormat="1" x14ac:dyDescent="0.25">
      <c r="A22" s="57"/>
      <c r="B22" s="57"/>
      <c r="C22" s="57"/>
      <c r="D22" s="57"/>
      <c r="E22" s="58"/>
      <c r="F22" s="58"/>
      <c r="G22" s="59"/>
      <c r="H22" s="60"/>
      <c r="I22" s="61"/>
      <c r="J22" s="62"/>
      <c r="K22" s="63"/>
      <c r="L22" s="57"/>
    </row>
    <row r="23" ht="15.75" customHeight="1" spans="1:12" s="1" customFormat="1" x14ac:dyDescent="0.25">
      <c r="A23" s="50"/>
      <c r="B23" s="50"/>
      <c r="C23" s="50"/>
      <c r="D23" s="50"/>
      <c r="E23" s="51"/>
      <c r="F23" s="51"/>
      <c r="G23" s="52"/>
      <c r="H23" s="53"/>
      <c r="I23" s="54"/>
      <c r="J23" s="55"/>
      <c r="K23" s="56"/>
      <c r="L23" s="50"/>
    </row>
    <row r="24" ht="15.75" customHeight="1" spans="1:12" s="1" customFormat="1" x14ac:dyDescent="0.25">
      <c r="A24" s="57"/>
      <c r="B24" s="57"/>
      <c r="C24" s="57"/>
      <c r="D24" s="57"/>
      <c r="E24" s="58"/>
      <c r="F24" s="58"/>
      <c r="G24" s="59"/>
      <c r="H24" s="60"/>
      <c r="I24" s="61"/>
      <c r="J24" s="62"/>
      <c r="K24" s="63"/>
      <c r="L24" s="57"/>
    </row>
    <row r="25" ht="15.75" customHeight="1" spans="1:12" s="1" customFormat="1" x14ac:dyDescent="0.25">
      <c r="A25" s="50"/>
      <c r="B25" s="50"/>
      <c r="C25" s="50"/>
      <c r="D25" s="50"/>
      <c r="E25" s="51"/>
      <c r="F25" s="51"/>
      <c r="G25" s="52"/>
      <c r="H25" s="53"/>
      <c r="I25" s="54"/>
      <c r="J25" s="55"/>
      <c r="K25" s="56"/>
      <c r="L25" s="50"/>
    </row>
    <row r="26" ht="15.75" customHeight="1" spans="1:12" s="1" customFormat="1" x14ac:dyDescent="0.25">
      <c r="A26" s="57"/>
      <c r="B26" s="57"/>
      <c r="C26" s="57"/>
      <c r="D26" s="57"/>
      <c r="E26" s="58"/>
      <c r="F26" s="58"/>
      <c r="G26" s="59"/>
      <c r="H26" s="60"/>
      <c r="I26" s="61"/>
      <c r="J26" s="62"/>
      <c r="K26" s="63"/>
      <c r="L26" s="57"/>
    </row>
    <row r="27" ht="15.75" customHeight="1" spans="1:12" s="1" customFormat="1" x14ac:dyDescent="0.25">
      <c r="A27" s="50"/>
      <c r="B27" s="50"/>
      <c r="C27" s="50"/>
      <c r="D27" s="50"/>
      <c r="E27" s="51"/>
      <c r="F27" s="51"/>
      <c r="G27" s="52"/>
      <c r="H27" s="53"/>
      <c r="I27" s="54"/>
      <c r="J27" s="55"/>
      <c r="K27" s="56"/>
      <c r="L27" s="50"/>
    </row>
    <row r="28" ht="15.75" customHeight="1" spans="1:12" s="1" customFormat="1" x14ac:dyDescent="0.25">
      <c r="A28" s="57"/>
      <c r="B28" s="57"/>
      <c r="C28" s="57"/>
      <c r="D28" s="57"/>
      <c r="E28" s="58"/>
      <c r="F28" s="58"/>
      <c r="G28" s="59"/>
      <c r="H28" s="60"/>
      <c r="I28" s="61"/>
      <c r="J28" s="62"/>
      <c r="K28" s="63"/>
      <c r="L28" s="57"/>
    </row>
    <row r="29" ht="15.75" customHeight="1" spans="1:12" s="1" customFormat="1" x14ac:dyDescent="0.25">
      <c r="A29" s="50"/>
      <c r="B29" s="50"/>
      <c r="C29" s="50"/>
      <c r="D29" s="50"/>
      <c r="E29" s="51"/>
      <c r="F29" s="51"/>
      <c r="G29" s="52"/>
      <c r="H29" s="53"/>
      <c r="I29" s="54"/>
      <c r="J29" s="55"/>
      <c r="K29" s="56"/>
      <c r="L29" s="50"/>
    </row>
    <row r="30" ht="15.75" customHeight="1" spans="1:12" s="1" customFormat="1" x14ac:dyDescent="0.25">
      <c r="A30" s="57"/>
      <c r="B30" s="57"/>
      <c r="C30" s="57"/>
      <c r="D30" s="57"/>
      <c r="E30" s="58"/>
      <c r="F30" s="58"/>
      <c r="G30" s="59"/>
      <c r="H30" s="60"/>
      <c r="I30" s="61"/>
      <c r="J30" s="62"/>
      <c r="K30" s="63"/>
      <c r="L30" s="57"/>
    </row>
    <row r="31" ht="15.75" customHeight="1" spans="1:12" s="1" customFormat="1" x14ac:dyDescent="0.25">
      <c r="A31" s="50"/>
      <c r="B31" s="50"/>
      <c r="C31" s="50"/>
      <c r="D31" s="50"/>
      <c r="E31" s="51"/>
      <c r="F31" s="51"/>
      <c r="G31" s="52"/>
      <c r="H31" s="53"/>
      <c r="I31" s="54"/>
      <c r="J31" s="55"/>
      <c r="K31" s="56"/>
      <c r="L31" s="50"/>
    </row>
    <row r="32" ht="15.75" customHeight="1" spans="1:12" s="1" customFormat="1" x14ac:dyDescent="0.25">
      <c r="A32" s="57"/>
      <c r="B32" s="57"/>
      <c r="C32" s="57"/>
      <c r="D32" s="57"/>
      <c r="E32" s="58"/>
      <c r="F32" s="58"/>
      <c r="G32" s="59"/>
      <c r="H32" s="60"/>
      <c r="I32" s="61"/>
      <c r="J32" s="62"/>
      <c r="K32" s="63"/>
      <c r="L32" s="57"/>
    </row>
    <row r="33" ht="15.75" customHeight="1" spans="1:12" s="1" customFormat="1" x14ac:dyDescent="0.25">
      <c r="A33" s="50"/>
      <c r="B33" s="50"/>
      <c r="C33" s="50"/>
      <c r="D33" s="50"/>
      <c r="E33" s="51"/>
      <c r="F33" s="51"/>
      <c r="G33" s="52"/>
      <c r="H33" s="53"/>
      <c r="I33" s="54"/>
      <c r="J33" s="55"/>
      <c r="K33" s="56"/>
      <c r="L33" s="50"/>
    </row>
    <row r="34" ht="15.75" customHeight="1" spans="1:12" s="1" customFormat="1" x14ac:dyDescent="0.25">
      <c r="A34" s="57"/>
      <c r="B34" s="57"/>
      <c r="C34" s="57"/>
      <c r="D34" s="57"/>
      <c r="E34" s="58"/>
      <c r="F34" s="58"/>
      <c r="G34" s="59"/>
      <c r="H34" s="60"/>
      <c r="I34" s="61"/>
      <c r="J34" s="62"/>
      <c r="K34" s="63"/>
      <c r="L34" s="57"/>
    </row>
    <row r="35" ht="15.75" customHeight="1" spans="1:12" s="1" customFormat="1" x14ac:dyDescent="0.25">
      <c r="A35" s="50"/>
      <c r="B35" s="50"/>
      <c r="C35" s="50"/>
      <c r="D35" s="50"/>
      <c r="E35" s="51"/>
      <c r="F35" s="51"/>
      <c r="G35" s="52"/>
      <c r="H35" s="53"/>
      <c r="I35" s="54"/>
      <c r="J35" s="55"/>
      <c r="K35" s="56"/>
      <c r="L35" s="50"/>
    </row>
    <row r="36" ht="15.75" customHeight="1" spans="1:12" s="1" customFormat="1" x14ac:dyDescent="0.25">
      <c r="A36" s="57"/>
      <c r="B36" s="57"/>
      <c r="C36" s="57"/>
      <c r="D36" s="57"/>
      <c r="E36" s="58"/>
      <c r="F36" s="58"/>
      <c r="G36" s="59"/>
      <c r="H36" s="60"/>
      <c r="I36" s="61"/>
      <c r="J36" s="62"/>
      <c r="K36" s="63"/>
      <c r="L36" s="57"/>
    </row>
    <row r="37" ht="15.75" customHeight="1" spans="1:12" s="1" customFormat="1" x14ac:dyDescent="0.25">
      <c r="A37" s="50"/>
      <c r="B37" s="50"/>
      <c r="C37" s="50"/>
      <c r="D37" s="50"/>
      <c r="E37" s="51"/>
      <c r="F37" s="51"/>
      <c r="G37" s="52"/>
      <c r="H37" s="53"/>
      <c r="I37" s="54"/>
      <c r="J37" s="55"/>
      <c r="K37" s="56"/>
      <c r="L37" s="50"/>
    </row>
    <row r="38" ht="15.75" customHeight="1" spans="1:12" s="1" customFormat="1" x14ac:dyDescent="0.25">
      <c r="A38" s="57"/>
      <c r="B38" s="57"/>
      <c r="C38" s="57"/>
      <c r="D38" s="57"/>
      <c r="E38" s="58"/>
      <c r="F38" s="58"/>
      <c r="G38" s="59"/>
      <c r="H38" s="60"/>
      <c r="I38" s="61"/>
      <c r="J38" s="62"/>
      <c r="K38" s="63"/>
      <c r="L38" s="57"/>
    </row>
    <row r="39" ht="15.75" customHeight="1" spans="1:12" s="1" customFormat="1" x14ac:dyDescent="0.25">
      <c r="A39" s="50"/>
      <c r="B39" s="50"/>
      <c r="C39" s="50"/>
      <c r="D39" s="50"/>
      <c r="E39" s="51"/>
      <c r="F39" s="51"/>
      <c r="G39" s="52"/>
      <c r="H39" s="53"/>
      <c r="I39" s="54"/>
      <c r="J39" s="55"/>
      <c r="K39" s="56"/>
      <c r="L39" s="50"/>
    </row>
    <row r="40" ht="15.75" customHeight="1" spans="1:12" s="1" customFormat="1" x14ac:dyDescent="0.25">
      <c r="A40" s="57"/>
      <c r="B40" s="57"/>
      <c r="C40" s="57"/>
      <c r="D40" s="57"/>
      <c r="E40" s="58"/>
      <c r="F40" s="58"/>
      <c r="G40" s="59"/>
      <c r="H40" s="60"/>
      <c r="I40" s="61"/>
      <c r="J40" s="62"/>
      <c r="K40" s="63"/>
      <c r="L40" s="57"/>
    </row>
    <row r="41" ht="15.75" customHeight="1" spans="1:12" s="1" customFormat="1" x14ac:dyDescent="0.25">
      <c r="A41" s="50"/>
      <c r="B41" s="50"/>
      <c r="C41" s="50"/>
      <c r="D41" s="50"/>
      <c r="E41" s="51"/>
      <c r="F41" s="51"/>
      <c r="G41" s="52"/>
      <c r="H41" s="53"/>
      <c r="I41" s="54"/>
      <c r="J41" s="55"/>
      <c r="K41" s="56"/>
      <c r="L41" s="50"/>
    </row>
    <row r="42" ht="15.75" customHeight="1" spans="1:12" s="1" customFormat="1" x14ac:dyDescent="0.25">
      <c r="A42" s="57"/>
      <c r="B42" s="57"/>
      <c r="C42" s="57"/>
      <c r="D42" s="57"/>
      <c r="E42" s="58"/>
      <c r="F42" s="58"/>
      <c r="G42" s="59"/>
      <c r="H42" s="60"/>
      <c r="I42" s="61"/>
      <c r="J42" s="62"/>
      <c r="K42" s="63"/>
      <c r="L42" s="57"/>
    </row>
    <row r="43" ht="15.75" customHeight="1" spans="1:12" s="1" customFormat="1" x14ac:dyDescent="0.25">
      <c r="A43" s="50"/>
      <c r="B43" s="50"/>
      <c r="C43" s="50"/>
      <c r="D43" s="50"/>
      <c r="E43" s="51"/>
      <c r="F43" s="51"/>
      <c r="G43" s="52"/>
      <c r="H43" s="53"/>
      <c r="I43" s="54"/>
      <c r="J43" s="55"/>
      <c r="K43" s="56"/>
      <c r="L43" s="50"/>
    </row>
    <row r="44" ht="15.75" customHeight="1" spans="1:12" s="1" customFormat="1" x14ac:dyDescent="0.25">
      <c r="A44" s="57"/>
      <c r="B44" s="57"/>
      <c r="C44" s="57"/>
      <c r="D44" s="57"/>
      <c r="E44" s="58"/>
      <c r="F44" s="58"/>
      <c r="G44" s="59"/>
      <c r="H44" s="60"/>
      <c r="I44" s="61"/>
      <c r="J44" s="62"/>
      <c r="K44" s="63"/>
      <c r="L44" s="57"/>
    </row>
    <row r="45" ht="15.75" customHeight="1" spans="1:12" s="1" customFormat="1" x14ac:dyDescent="0.25">
      <c r="A45" s="50"/>
      <c r="B45" s="50"/>
      <c r="C45" s="50"/>
      <c r="D45" s="50"/>
      <c r="E45" s="51"/>
      <c r="F45" s="51"/>
      <c r="G45" s="52"/>
      <c r="H45" s="53"/>
      <c r="I45" s="54"/>
      <c r="J45" s="55"/>
      <c r="K45" s="56"/>
      <c r="L45" s="50"/>
    </row>
    <row r="46" ht="15.75" customHeight="1" spans="1:12" s="1" customFormat="1" x14ac:dyDescent="0.25">
      <c r="A46" s="57"/>
      <c r="B46" s="57"/>
      <c r="C46" s="57"/>
      <c r="D46" s="57"/>
      <c r="E46" s="58"/>
      <c r="F46" s="58"/>
      <c r="G46" s="59"/>
      <c r="H46" s="60"/>
      <c r="I46" s="61"/>
      <c r="J46" s="62"/>
      <c r="K46" s="63"/>
      <c r="L46" s="57"/>
    </row>
    <row r="47" ht="15.75" customHeight="1" spans="1:12" s="1" customFormat="1" x14ac:dyDescent="0.25">
      <c r="A47" s="50"/>
      <c r="B47" s="50"/>
      <c r="C47" s="50"/>
      <c r="D47" s="50"/>
      <c r="E47" s="51"/>
      <c r="F47" s="51"/>
      <c r="G47" s="52"/>
      <c r="H47" s="53"/>
      <c r="I47" s="54"/>
      <c r="J47" s="55"/>
      <c r="K47" s="56"/>
      <c r="L47" s="50"/>
    </row>
    <row r="48" ht="15.75" customHeight="1" spans="1:12" s="1" customFormat="1" x14ac:dyDescent="0.25">
      <c r="A48" s="57"/>
      <c r="B48" s="57"/>
      <c r="C48" s="57"/>
      <c r="D48" s="57"/>
      <c r="E48" s="58"/>
      <c r="F48" s="58"/>
      <c r="G48" s="59"/>
      <c r="H48" s="60"/>
      <c r="I48" s="61"/>
      <c r="J48" s="62"/>
      <c r="K48" s="63"/>
      <c r="L48" s="57"/>
    </row>
    <row r="49" ht="15.75" customHeight="1" spans="1:12" s="1" customFormat="1" x14ac:dyDescent="0.25">
      <c r="A49" s="50"/>
      <c r="B49" s="50"/>
      <c r="C49" s="50"/>
      <c r="D49" s="50"/>
      <c r="E49" s="51"/>
      <c r="F49" s="51"/>
      <c r="G49" s="52"/>
      <c r="H49" s="53"/>
      <c r="I49" s="54"/>
      <c r="J49" s="55"/>
      <c r="K49" s="56"/>
      <c r="L49" s="50"/>
    </row>
    <row r="50" ht="15.75" customHeight="1" spans="1:12" s="1" customFormat="1" x14ac:dyDescent="0.25">
      <c r="A50" s="57"/>
      <c r="B50" s="57"/>
      <c r="C50" s="57"/>
      <c r="D50" s="57"/>
      <c r="E50" s="58"/>
      <c r="F50" s="58"/>
      <c r="G50" s="59"/>
      <c r="H50" s="60"/>
      <c r="I50" s="61"/>
      <c r="J50" s="62"/>
      <c r="K50" s="63"/>
      <c r="L50" s="57"/>
    </row>
    <row r="51" ht="15.75" customHeight="1" spans="1:12" s="1" customFormat="1" x14ac:dyDescent="0.25">
      <c r="A51" s="50"/>
      <c r="B51" s="50"/>
      <c r="C51" s="50"/>
      <c r="D51" s="50"/>
      <c r="E51" s="51"/>
      <c r="F51" s="51"/>
      <c r="G51" s="52"/>
      <c r="H51" s="53"/>
      <c r="I51" s="54"/>
      <c r="J51" s="55"/>
      <c r="K51" s="56"/>
      <c r="L51" s="50"/>
    </row>
    <row r="52" ht="15.75" customHeight="1" spans="1:12" s="1" customFormat="1" x14ac:dyDescent="0.25">
      <c r="A52" s="57"/>
      <c r="B52" s="57"/>
      <c r="C52" s="57"/>
      <c r="D52" s="57"/>
      <c r="E52" s="58"/>
      <c r="F52" s="58"/>
      <c r="G52" s="59"/>
      <c r="H52" s="60"/>
      <c r="I52" s="61"/>
      <c r="J52" s="62"/>
      <c r="K52" s="63"/>
      <c r="L52" s="57"/>
    </row>
    <row r="53" ht="15.75" customHeight="1" spans="1:12" s="1" customFormat="1" x14ac:dyDescent="0.25">
      <c r="A53" s="50"/>
      <c r="B53" s="50"/>
      <c r="C53" s="50"/>
      <c r="D53" s="50"/>
      <c r="E53" s="51"/>
      <c r="F53" s="51"/>
      <c r="G53" s="52"/>
      <c r="H53" s="53"/>
      <c r="I53" s="54"/>
      <c r="J53" s="55"/>
      <c r="K53" s="56"/>
      <c r="L53" s="50"/>
    </row>
    <row r="54" ht="15.75" customHeight="1" spans="1:12" s="1" customFormat="1" x14ac:dyDescent="0.25">
      <c r="A54" s="57"/>
      <c r="B54" s="57"/>
      <c r="C54" s="57"/>
      <c r="D54" s="57"/>
      <c r="E54" s="58"/>
      <c r="F54" s="58"/>
      <c r="G54" s="59"/>
      <c r="H54" s="60"/>
      <c r="I54" s="61"/>
      <c r="J54" s="62"/>
      <c r="K54" s="63"/>
      <c r="L54" s="57"/>
    </row>
    <row r="55" ht="15.75" customHeight="1" spans="1:12" s="1" customFormat="1" x14ac:dyDescent="0.25">
      <c r="A55" s="50"/>
      <c r="B55" s="50"/>
      <c r="C55" s="50"/>
      <c r="D55" s="50"/>
      <c r="E55" s="51"/>
      <c r="F55" s="51"/>
      <c r="G55" s="52"/>
      <c r="H55" s="53"/>
      <c r="I55" s="54"/>
      <c r="J55" s="55"/>
      <c r="K55" s="56"/>
      <c r="L55" s="50"/>
    </row>
    <row r="56" ht="15.75" customHeight="1" spans="1:12" s="1" customFormat="1" x14ac:dyDescent="0.25">
      <c r="A56" s="57"/>
      <c r="B56" s="57"/>
      <c r="C56" s="57"/>
      <c r="D56" s="57"/>
      <c r="E56" s="58"/>
      <c r="F56" s="58"/>
      <c r="G56" s="59"/>
      <c r="H56" s="60"/>
      <c r="I56" s="61"/>
      <c r="J56" s="62"/>
      <c r="K56" s="63"/>
      <c r="L56" s="57"/>
    </row>
    <row r="57" ht="15.75" customHeight="1" spans="1:12" s="1" customFormat="1" x14ac:dyDescent="0.25">
      <c r="A57" s="50"/>
      <c r="B57" s="50"/>
      <c r="C57" s="50"/>
      <c r="D57" s="50"/>
      <c r="E57" s="51"/>
      <c r="F57" s="51"/>
      <c r="G57" s="52"/>
      <c r="H57" s="53"/>
      <c r="I57" s="54"/>
      <c r="J57" s="55"/>
      <c r="K57" s="56"/>
      <c r="L57" s="50"/>
    </row>
    <row r="58" ht="15.75" customHeight="1" spans="1:12" s="1" customFormat="1" x14ac:dyDescent="0.25">
      <c r="A58" s="57"/>
      <c r="B58" s="57"/>
      <c r="C58" s="57"/>
      <c r="D58" s="57"/>
      <c r="E58" s="58"/>
      <c r="F58" s="58"/>
      <c r="G58" s="59"/>
      <c r="H58" s="60"/>
      <c r="I58" s="61"/>
      <c r="J58" s="62"/>
      <c r="K58" s="63"/>
      <c r="L58" s="57"/>
    </row>
    <row r="59" ht="15.75" customHeight="1" spans="1:12" s="1" customFormat="1" x14ac:dyDescent="0.25">
      <c r="A59" s="50"/>
      <c r="B59" s="50"/>
      <c r="C59" s="50"/>
      <c r="D59" s="50"/>
      <c r="E59" s="51"/>
      <c r="F59" s="51"/>
      <c r="G59" s="52"/>
      <c r="H59" s="53"/>
      <c r="I59" s="54"/>
      <c r="J59" s="55"/>
      <c r="K59" s="56"/>
      <c r="L59" s="50"/>
    </row>
    <row r="60" ht="15.75" customHeight="1" spans="1:12" s="1" customFormat="1" x14ac:dyDescent="0.25">
      <c r="A60" s="57"/>
      <c r="B60" s="57"/>
      <c r="C60" s="57"/>
      <c r="D60" s="57"/>
      <c r="E60" s="58"/>
      <c r="F60" s="58"/>
      <c r="G60" s="59"/>
      <c r="H60" s="60"/>
      <c r="I60" s="61"/>
      <c r="J60" s="62"/>
      <c r="K60" s="63"/>
      <c r="L60" s="57"/>
    </row>
    <row r="61" ht="15.75" customHeight="1" spans="1:12" s="1" customFormat="1" x14ac:dyDescent="0.25">
      <c r="A61" s="50"/>
      <c r="B61" s="50"/>
      <c r="C61" s="50"/>
      <c r="D61" s="50"/>
      <c r="E61" s="51"/>
      <c r="F61" s="51"/>
      <c r="G61" s="52"/>
      <c r="H61" s="53"/>
      <c r="I61" s="54"/>
      <c r="J61" s="55"/>
      <c r="K61" s="56"/>
      <c r="L61" s="50"/>
    </row>
    <row r="62" ht="15.75" customHeight="1" spans="1:12" s="1" customFormat="1" x14ac:dyDescent="0.25">
      <c r="A62" s="57"/>
      <c r="B62" s="57"/>
      <c r="C62" s="57"/>
      <c r="D62" s="57"/>
      <c r="E62" s="58"/>
      <c r="F62" s="58"/>
      <c r="G62" s="59"/>
      <c r="H62" s="60"/>
      <c r="I62" s="61"/>
      <c r="J62" s="62"/>
      <c r="K62" s="63"/>
      <c r="L62" s="57"/>
    </row>
    <row r="63" ht="15.75" customHeight="1" spans="1:12" s="1" customFormat="1" x14ac:dyDescent="0.25">
      <c r="A63" s="50"/>
      <c r="B63" s="50"/>
      <c r="C63" s="50"/>
      <c r="D63" s="50"/>
      <c r="E63" s="51"/>
      <c r="F63" s="51"/>
      <c r="G63" s="52"/>
      <c r="H63" s="53"/>
      <c r="I63" s="54"/>
      <c r="J63" s="55"/>
      <c r="K63" s="56"/>
      <c r="L63" s="50"/>
    </row>
    <row r="64" ht="15.75" customHeight="1" spans="1:12" s="1" customFormat="1" x14ac:dyDescent="0.25">
      <c r="A64" s="57"/>
      <c r="B64" s="57"/>
      <c r="C64" s="57"/>
      <c r="D64" s="57"/>
      <c r="E64" s="58"/>
      <c r="F64" s="58"/>
      <c r="G64" s="59"/>
      <c r="H64" s="60"/>
      <c r="I64" s="61"/>
      <c r="J64" s="62"/>
      <c r="K64" s="63"/>
      <c r="L64" s="57"/>
    </row>
    <row r="65" ht="15.75" customHeight="1" spans="1:12" s="1" customFormat="1" x14ac:dyDescent="0.25">
      <c r="A65" s="50"/>
      <c r="B65" s="50"/>
      <c r="C65" s="50"/>
      <c r="D65" s="50"/>
      <c r="E65" s="51"/>
      <c r="F65" s="51"/>
      <c r="G65" s="52"/>
      <c r="H65" s="53"/>
      <c r="I65" s="54"/>
      <c r="J65" s="55"/>
      <c r="K65" s="56"/>
      <c r="L65" s="50"/>
    </row>
    <row r="66" ht="15.75" customHeight="1" spans="1:12" s="1" customFormat="1" x14ac:dyDescent="0.25">
      <c r="A66" s="57"/>
      <c r="B66" s="57"/>
      <c r="C66" s="57"/>
      <c r="D66" s="57"/>
      <c r="E66" s="58"/>
      <c r="F66" s="58"/>
      <c r="G66" s="59"/>
      <c r="H66" s="60"/>
      <c r="I66" s="61"/>
      <c r="J66" s="62"/>
      <c r="K66" s="63"/>
      <c r="L66" s="57"/>
    </row>
    <row r="67" ht="15.75" customHeight="1" spans="1:12" s="1" customFormat="1" x14ac:dyDescent="0.25">
      <c r="A67" s="50"/>
      <c r="B67" s="50"/>
      <c r="C67" s="50"/>
      <c r="D67" s="50"/>
      <c r="E67" s="51"/>
      <c r="F67" s="51"/>
      <c r="G67" s="52"/>
      <c r="H67" s="53"/>
      <c r="I67" s="54"/>
      <c r="J67" s="55"/>
      <c r="K67" s="56"/>
      <c r="L67" s="50"/>
    </row>
    <row r="68" ht="15.75" customHeight="1" spans="1:12" s="1" customFormat="1" x14ac:dyDescent="0.25">
      <c r="A68" s="57"/>
      <c r="B68" s="57"/>
      <c r="C68" s="57"/>
      <c r="D68" s="57"/>
      <c r="E68" s="58"/>
      <c r="F68" s="58"/>
      <c r="G68" s="59"/>
      <c r="H68" s="60"/>
      <c r="I68" s="61"/>
      <c r="J68" s="62"/>
      <c r="K68" s="63"/>
      <c r="L68" s="57"/>
    </row>
    <row r="69" ht="15.75" customHeight="1" spans="1:12" s="1" customFormat="1" x14ac:dyDescent="0.25">
      <c r="A69" s="50"/>
      <c r="B69" s="50"/>
      <c r="C69" s="50"/>
      <c r="D69" s="50"/>
      <c r="E69" s="51"/>
      <c r="F69" s="51"/>
      <c r="G69" s="52"/>
      <c r="H69" s="53"/>
      <c r="I69" s="54"/>
      <c r="J69" s="55"/>
      <c r="K69" s="56"/>
      <c r="L69" s="50"/>
    </row>
    <row r="70" ht="15.75" customHeight="1" spans="1:12" s="1" customFormat="1" x14ac:dyDescent="0.25">
      <c r="A70" s="57"/>
      <c r="B70" s="57"/>
      <c r="C70" s="57"/>
      <c r="D70" s="57"/>
      <c r="E70" s="58"/>
      <c r="F70" s="58"/>
      <c r="G70" s="59"/>
      <c r="H70" s="60"/>
      <c r="I70" s="61"/>
      <c r="J70" s="62"/>
      <c r="K70" s="63"/>
      <c r="L70" s="57"/>
    </row>
    <row r="71" ht="15.75" customHeight="1" spans="1:12" s="1" customFormat="1" x14ac:dyDescent="0.25">
      <c r="A71" s="50"/>
      <c r="B71" s="50"/>
      <c r="C71" s="50"/>
      <c r="D71" s="50"/>
      <c r="E71" s="51"/>
      <c r="F71" s="51"/>
      <c r="G71" s="52"/>
      <c r="H71" s="53"/>
      <c r="I71" s="54"/>
      <c r="J71" s="55"/>
      <c r="K71" s="56"/>
      <c r="L71" s="50"/>
    </row>
    <row r="72" ht="15.75" customHeight="1" spans="1:12" s="1" customFormat="1" x14ac:dyDescent="0.25">
      <c r="A72" s="57"/>
      <c r="B72" s="57"/>
      <c r="C72" s="57"/>
      <c r="D72" s="57"/>
      <c r="E72" s="58"/>
      <c r="F72" s="58"/>
      <c r="G72" s="59"/>
      <c r="H72" s="60"/>
      <c r="I72" s="61"/>
      <c r="J72" s="62"/>
      <c r="K72" s="63"/>
      <c r="L72" s="57"/>
    </row>
    <row r="73" ht="15.75" customHeight="1" spans="1:12" s="1" customFormat="1" x14ac:dyDescent="0.25">
      <c r="A73" s="50"/>
      <c r="B73" s="50"/>
      <c r="C73" s="50"/>
      <c r="D73" s="50"/>
      <c r="E73" s="51"/>
      <c r="F73" s="51"/>
      <c r="G73" s="52"/>
      <c r="H73" s="53"/>
      <c r="I73" s="54"/>
      <c r="J73" s="55"/>
      <c r="K73" s="56"/>
      <c r="L73" s="50"/>
    </row>
    <row r="74" ht="15.75" customHeight="1" spans="1:12" s="1" customFormat="1" x14ac:dyDescent="0.25">
      <c r="A74" s="57"/>
      <c r="B74" s="57"/>
      <c r="C74" s="57"/>
      <c r="D74" s="57"/>
      <c r="E74" s="58"/>
      <c r="F74" s="58"/>
      <c r="G74" s="59"/>
      <c r="H74" s="60"/>
      <c r="I74" s="61"/>
      <c r="J74" s="62"/>
      <c r="K74" s="63"/>
      <c r="L74" s="57"/>
    </row>
    <row r="75" ht="15.75" customHeight="1" spans="1:12" s="1" customFormat="1" x14ac:dyDescent="0.25">
      <c r="A75" s="50"/>
      <c r="B75" s="50"/>
      <c r="C75" s="50"/>
      <c r="D75" s="50"/>
      <c r="E75" s="51"/>
      <c r="F75" s="51"/>
      <c r="G75" s="52"/>
      <c r="H75" s="53"/>
      <c r="I75" s="54"/>
      <c r="J75" s="55"/>
      <c r="K75" s="56"/>
      <c r="L75" s="50"/>
    </row>
    <row r="76" ht="15.75" customHeight="1" spans="1:12" s="1" customFormat="1" x14ac:dyDescent="0.25">
      <c r="A76" s="57"/>
      <c r="B76" s="57"/>
      <c r="C76" s="57"/>
      <c r="D76" s="57"/>
      <c r="E76" s="58"/>
      <c r="F76" s="58"/>
      <c r="G76" s="59"/>
      <c r="H76" s="60"/>
      <c r="I76" s="61"/>
      <c r="J76" s="62"/>
      <c r="K76" s="63"/>
      <c r="L76" s="57"/>
    </row>
    <row r="77" ht="15.75" customHeight="1" spans="1:12" s="1" customFormat="1" x14ac:dyDescent="0.25">
      <c r="A77" s="50"/>
      <c r="B77" s="50"/>
      <c r="C77" s="50"/>
      <c r="D77" s="50"/>
      <c r="E77" s="51"/>
      <c r="F77" s="51"/>
      <c r="G77" s="52"/>
      <c r="H77" s="53"/>
      <c r="I77" s="54"/>
      <c r="J77" s="55"/>
      <c r="K77" s="56"/>
      <c r="L77" s="50"/>
    </row>
    <row r="78" ht="15.75" customHeight="1" spans="1:12" s="1" customFormat="1" x14ac:dyDescent="0.25">
      <c r="A78" s="57"/>
      <c r="B78" s="57"/>
      <c r="C78" s="57"/>
      <c r="D78" s="57"/>
      <c r="E78" s="58"/>
      <c r="F78" s="58"/>
      <c r="G78" s="59"/>
      <c r="H78" s="60"/>
      <c r="I78" s="61"/>
      <c r="J78" s="62"/>
      <c r="K78" s="63"/>
      <c r="L78" s="57"/>
    </row>
    <row r="79" ht="15.75" customHeight="1" spans="1:12" s="1" customFormat="1" x14ac:dyDescent="0.25">
      <c r="A79" s="50"/>
      <c r="B79" s="50"/>
      <c r="C79" s="50"/>
      <c r="D79" s="50"/>
      <c r="E79" s="51"/>
      <c r="F79" s="51"/>
      <c r="G79" s="52"/>
      <c r="H79" s="53"/>
      <c r="I79" s="54"/>
      <c r="J79" s="55"/>
      <c r="K79" s="56"/>
      <c r="L79" s="50"/>
    </row>
    <row r="80" ht="15.75" customHeight="1" spans="1:12" s="1" customFormat="1" x14ac:dyDescent="0.25">
      <c r="A80" s="57"/>
      <c r="B80" s="57"/>
      <c r="C80" s="57"/>
      <c r="D80" s="57"/>
      <c r="E80" s="58"/>
      <c r="F80" s="58"/>
      <c r="G80" s="59"/>
      <c r="H80" s="60"/>
      <c r="I80" s="61"/>
      <c r="J80" s="62"/>
      <c r="K80" s="63"/>
      <c r="L80" s="57"/>
    </row>
    <row r="81" ht="15.75" customHeight="1" spans="1:12" s="1" customFormat="1" x14ac:dyDescent="0.25">
      <c r="A81" s="50"/>
      <c r="B81" s="50"/>
      <c r="C81" s="50"/>
      <c r="D81" s="50"/>
      <c r="E81" s="51"/>
      <c r="F81" s="51"/>
      <c r="G81" s="52"/>
      <c r="H81" s="53"/>
      <c r="I81" s="54"/>
      <c r="J81" s="55"/>
      <c r="K81" s="56"/>
      <c r="L81" s="50"/>
    </row>
    <row r="82" ht="15.75" customHeight="1" spans="1:12" s="1" customFormat="1" x14ac:dyDescent="0.25">
      <c r="A82" s="57"/>
      <c r="B82" s="57"/>
      <c r="C82" s="57"/>
      <c r="D82" s="57"/>
      <c r="E82" s="58"/>
      <c r="F82" s="58"/>
      <c r="G82" s="59"/>
      <c r="H82" s="60"/>
      <c r="I82" s="61"/>
      <c r="J82" s="62"/>
      <c r="K82" s="63"/>
      <c r="L82" s="57"/>
    </row>
    <row r="83" ht="15.75" customHeight="1" spans="1:12" s="1" customFormat="1" x14ac:dyDescent="0.25">
      <c r="A83" s="50"/>
      <c r="B83" s="50"/>
      <c r="C83" s="50"/>
      <c r="D83" s="50"/>
      <c r="E83" s="51"/>
      <c r="F83" s="51"/>
      <c r="G83" s="52"/>
      <c r="H83" s="53"/>
      <c r="I83" s="54"/>
      <c r="J83" s="55"/>
      <c r="K83" s="56"/>
      <c r="L83" s="50"/>
    </row>
    <row r="84" ht="15.75" customHeight="1" spans="1:12" s="1" customFormat="1" x14ac:dyDescent="0.25">
      <c r="A84" s="57"/>
      <c r="B84" s="57"/>
      <c r="C84" s="57"/>
      <c r="D84" s="57"/>
      <c r="E84" s="58"/>
      <c r="F84" s="58"/>
      <c r="G84" s="59"/>
      <c r="H84" s="60"/>
      <c r="I84" s="61"/>
      <c r="J84" s="62"/>
      <c r="K84" s="63"/>
      <c r="L84" s="57"/>
    </row>
    <row r="85" ht="15.75" customHeight="1" spans="1:12" s="1" customFormat="1" x14ac:dyDescent="0.25">
      <c r="A85" s="50"/>
      <c r="B85" s="50"/>
      <c r="C85" s="50"/>
      <c r="D85" s="50"/>
      <c r="E85" s="51"/>
      <c r="F85" s="51"/>
      <c r="G85" s="52"/>
      <c r="H85" s="53"/>
      <c r="I85" s="54"/>
      <c r="J85" s="55"/>
      <c r="K85" s="56"/>
      <c r="L85" s="50"/>
    </row>
    <row r="86" ht="15.75" customHeight="1" spans="1:12" s="1" customFormat="1" x14ac:dyDescent="0.25">
      <c r="A86" s="57"/>
      <c r="B86" s="57"/>
      <c r="C86" s="57"/>
      <c r="D86" s="57"/>
      <c r="E86" s="58"/>
      <c r="F86" s="58"/>
      <c r="G86" s="59"/>
      <c r="H86" s="60"/>
      <c r="I86" s="61"/>
      <c r="J86" s="62"/>
      <c r="K86" s="63"/>
      <c r="L86" s="57"/>
    </row>
    <row r="87" ht="15.75" customHeight="1" spans="1:12" s="1" customFormat="1" x14ac:dyDescent="0.25">
      <c r="A87" s="50"/>
      <c r="B87" s="50"/>
      <c r="C87" s="50"/>
      <c r="D87" s="50"/>
      <c r="E87" s="51"/>
      <c r="F87" s="51"/>
      <c r="G87" s="52"/>
      <c r="H87" s="53"/>
      <c r="I87" s="54"/>
      <c r="J87" s="55"/>
      <c r="K87" s="56"/>
      <c r="L87" s="50"/>
    </row>
    <row r="88" ht="15.75" customHeight="1" spans="1:12" s="1" customFormat="1" x14ac:dyDescent="0.25">
      <c r="A88" s="57"/>
      <c r="B88" s="57"/>
      <c r="C88" s="57"/>
      <c r="D88" s="57"/>
      <c r="E88" s="58"/>
      <c r="F88" s="58"/>
      <c r="G88" s="59"/>
      <c r="H88" s="60"/>
      <c r="I88" s="61"/>
      <c r="J88" s="62"/>
      <c r="K88" s="63"/>
      <c r="L88" s="57"/>
    </row>
    <row r="89" ht="15.75" customHeight="1" spans="1:12" s="1" customFormat="1" x14ac:dyDescent="0.25">
      <c r="A89" s="50"/>
      <c r="B89" s="50"/>
      <c r="C89" s="50"/>
      <c r="D89" s="50"/>
      <c r="E89" s="51"/>
      <c r="F89" s="51"/>
      <c r="G89" s="52"/>
      <c r="H89" s="53"/>
      <c r="I89" s="54"/>
      <c r="J89" s="55"/>
      <c r="K89" s="56"/>
      <c r="L89" s="50"/>
    </row>
    <row r="90" ht="15.75" customHeight="1" spans="1:12" s="1" customFormat="1" x14ac:dyDescent="0.25">
      <c r="A90" s="57"/>
      <c r="B90" s="57"/>
      <c r="C90" s="57"/>
      <c r="D90" s="57"/>
      <c r="E90" s="58"/>
      <c r="F90" s="58"/>
      <c r="G90" s="59"/>
      <c r="H90" s="60"/>
      <c r="I90" s="61"/>
      <c r="J90" s="62"/>
      <c r="K90" s="63"/>
      <c r="L90" s="57"/>
    </row>
    <row r="91" ht="15.75" customHeight="1" spans="1:12" s="1" customFormat="1" x14ac:dyDescent="0.25">
      <c r="A91" s="50"/>
      <c r="B91" s="50"/>
      <c r="C91" s="50"/>
      <c r="D91" s="50"/>
      <c r="E91" s="51"/>
      <c r="F91" s="51"/>
      <c r="G91" s="52"/>
      <c r="H91" s="53"/>
      <c r="I91" s="54"/>
      <c r="J91" s="55"/>
      <c r="K91" s="56"/>
      <c r="L91" s="50"/>
    </row>
    <row r="92" ht="15.75" customHeight="1" spans="1:12" s="1" customFormat="1" x14ac:dyDescent="0.25">
      <c r="A92" s="57"/>
      <c r="B92" s="57"/>
      <c r="C92" s="57"/>
      <c r="D92" s="57"/>
      <c r="E92" s="58"/>
      <c r="F92" s="58"/>
      <c r="G92" s="59"/>
      <c r="H92" s="60"/>
      <c r="I92" s="61"/>
      <c r="J92" s="62"/>
      <c r="K92" s="63"/>
      <c r="L92" s="57"/>
    </row>
    <row r="93" ht="15.75" customHeight="1" spans="1:12" s="1" customFormat="1" x14ac:dyDescent="0.25">
      <c r="A93" s="50"/>
      <c r="B93" s="50"/>
      <c r="C93" s="50"/>
      <c r="D93" s="50"/>
      <c r="E93" s="51"/>
      <c r="F93" s="51"/>
      <c r="G93" s="52"/>
      <c r="H93" s="53"/>
      <c r="I93" s="54"/>
      <c r="J93" s="55"/>
      <c r="K93" s="56"/>
      <c r="L93" s="50"/>
    </row>
    <row r="94" ht="15.75" customHeight="1" spans="1:12" s="1" customFormat="1" x14ac:dyDescent="0.25">
      <c r="A94" s="57"/>
      <c r="B94" s="57"/>
      <c r="C94" s="57"/>
      <c r="D94" s="57"/>
      <c r="E94" s="58"/>
      <c r="F94" s="58"/>
      <c r="G94" s="59"/>
      <c r="H94" s="60"/>
      <c r="I94" s="61"/>
      <c r="J94" s="62"/>
      <c r="K94" s="63"/>
      <c r="L94" s="57"/>
    </row>
    <row r="95" ht="15.75" customHeight="1" spans="1:12" s="1" customFormat="1" x14ac:dyDescent="0.25">
      <c r="A95" s="50"/>
      <c r="B95" s="50"/>
      <c r="C95" s="50"/>
      <c r="D95" s="50"/>
      <c r="E95" s="51"/>
      <c r="F95" s="51"/>
      <c r="G95" s="52"/>
      <c r="H95" s="53"/>
      <c r="I95" s="54"/>
      <c r="J95" s="55"/>
      <c r="K95" s="56"/>
      <c r="L95" s="50"/>
    </row>
    <row r="96" ht="15.75" customHeight="1" spans="1:12" s="1" customFormat="1" x14ac:dyDescent="0.25">
      <c r="A96" s="57"/>
      <c r="B96" s="57"/>
      <c r="C96" s="57"/>
      <c r="D96" s="57"/>
      <c r="E96" s="58"/>
      <c r="F96" s="58"/>
      <c r="G96" s="59"/>
      <c r="H96" s="60"/>
      <c r="I96" s="61"/>
      <c r="J96" s="62"/>
      <c r="K96" s="63"/>
      <c r="L96" s="57"/>
    </row>
    <row r="97" ht="15.75" customHeight="1" spans="1:12" s="1" customFormat="1" x14ac:dyDescent="0.25">
      <c r="A97" s="50"/>
      <c r="B97" s="50"/>
      <c r="C97" s="50"/>
      <c r="D97" s="50"/>
      <c r="E97" s="51"/>
      <c r="F97" s="51"/>
      <c r="G97" s="52"/>
      <c r="H97" s="53"/>
      <c r="I97" s="54"/>
      <c r="J97" s="55"/>
      <c r="K97" s="56"/>
      <c r="L97" s="50"/>
    </row>
    <row r="98" ht="15.75" customHeight="1" spans="1:12" s="1" customFormat="1" x14ac:dyDescent="0.25">
      <c r="A98" s="57"/>
      <c r="B98" s="57"/>
      <c r="C98" s="57"/>
      <c r="D98" s="57"/>
      <c r="E98" s="58"/>
      <c r="F98" s="58"/>
      <c r="G98" s="59"/>
      <c r="H98" s="60"/>
      <c r="I98" s="61"/>
      <c r="J98" s="62"/>
      <c r="K98" s="63"/>
      <c r="L98" s="57"/>
    </row>
    <row r="99" ht="15.75" customHeight="1" spans="1:12" s="1" customFormat="1" x14ac:dyDescent="0.25">
      <c r="A99" s="50"/>
      <c r="B99" s="50"/>
      <c r="C99" s="50"/>
      <c r="D99" s="50"/>
      <c r="E99" s="51"/>
      <c r="F99" s="51"/>
      <c r="G99" s="52"/>
      <c r="H99" s="53"/>
      <c r="I99" s="54"/>
      <c r="J99" s="55"/>
      <c r="K99" s="56"/>
      <c r="L99" s="50"/>
    </row>
    <row r="100" ht="15.75" customHeight="1" spans="1:12" s="1" customFormat="1" x14ac:dyDescent="0.25">
      <c r="A100" s="57"/>
      <c r="B100" s="57"/>
      <c r="C100" s="57"/>
      <c r="D100" s="57"/>
      <c r="E100" s="58"/>
      <c r="F100" s="58"/>
      <c r="G100" s="59"/>
      <c r="H100" s="60"/>
      <c r="I100" s="61"/>
      <c r="J100" s="62"/>
      <c r="K100" s="63"/>
      <c r="L100" s="57"/>
    </row>
    <row r="101" ht="15.75" customHeight="1" spans="1:12" s="1" customFormat="1" x14ac:dyDescent="0.25">
      <c r="A101" s="50"/>
      <c r="B101" s="50"/>
      <c r="C101" s="50"/>
      <c r="D101" s="50"/>
      <c r="E101" s="51"/>
      <c r="F101" s="51"/>
      <c r="G101" s="52"/>
      <c r="H101" s="53"/>
      <c r="I101" s="54"/>
      <c r="J101" s="55"/>
      <c r="K101" s="56"/>
      <c r="L101" s="50"/>
    </row>
    <row r="102" ht="15.75" customHeight="1" spans="1:12" s="1" customFormat="1" x14ac:dyDescent="0.25">
      <c r="A102" s="57"/>
      <c r="B102" s="57"/>
      <c r="C102" s="57"/>
      <c r="D102" s="57"/>
      <c r="E102" s="58"/>
      <c r="F102" s="58"/>
      <c r="G102" s="59"/>
      <c r="H102" s="60"/>
      <c r="I102" s="61"/>
      <c r="J102" s="62"/>
      <c r="K102" s="63"/>
      <c r="L102" s="57"/>
    </row>
    <row r="103" ht="15.75" customHeight="1" spans="1:12" s="1" customFormat="1" x14ac:dyDescent="0.25">
      <c r="A103" s="50"/>
      <c r="B103" s="50"/>
      <c r="C103" s="50"/>
      <c r="D103" s="50"/>
      <c r="E103" s="51"/>
      <c r="F103" s="51"/>
      <c r="G103" s="52"/>
      <c r="H103" s="53"/>
      <c r="I103" s="54"/>
      <c r="J103" s="55"/>
      <c r="K103" s="56"/>
      <c r="L103" s="50"/>
    </row>
    <row r="104" ht="15.75" customHeight="1" spans="1:12" s="1" customFormat="1" x14ac:dyDescent="0.25">
      <c r="A104" s="57"/>
      <c r="B104" s="57"/>
      <c r="C104" s="57"/>
      <c r="D104" s="57"/>
      <c r="E104" s="58"/>
      <c r="F104" s="58"/>
      <c r="G104" s="59"/>
      <c r="H104" s="60"/>
      <c r="I104" s="61"/>
      <c r="J104" s="62"/>
      <c r="K104" s="63"/>
      <c r="L104" s="57"/>
    </row>
    <row r="105" ht="15.75" customHeight="1" spans="1:12" s="1" customFormat="1" x14ac:dyDescent="0.25">
      <c r="A105" s="50"/>
      <c r="B105" s="50"/>
      <c r="C105" s="50"/>
      <c r="D105" s="50"/>
      <c r="E105" s="51"/>
      <c r="F105" s="51"/>
      <c r="G105" s="52"/>
      <c r="H105" s="53"/>
      <c r="I105" s="54"/>
      <c r="J105" s="55"/>
      <c r="K105" s="56"/>
      <c r="L105" s="50"/>
    </row>
    <row r="106" ht="15.75" customHeight="1" spans="1:12" s="1" customFormat="1" x14ac:dyDescent="0.25">
      <c r="A106" s="57"/>
      <c r="B106" s="57"/>
      <c r="C106" s="57"/>
      <c r="D106" s="57"/>
      <c r="E106" s="58"/>
      <c r="F106" s="58"/>
      <c r="G106" s="59"/>
      <c r="H106" s="60"/>
      <c r="I106" s="61"/>
      <c r="J106" s="62"/>
      <c r="K106" s="63"/>
      <c r="L106" s="57"/>
    </row>
    <row r="107" ht="15.75" customHeight="1" spans="1:12" s="1" customFormat="1" x14ac:dyDescent="0.25">
      <c r="A107" s="50"/>
      <c r="B107" s="50"/>
      <c r="C107" s="50"/>
      <c r="D107" s="50"/>
      <c r="E107" s="51"/>
      <c r="F107" s="51"/>
      <c r="G107" s="52"/>
      <c r="H107" s="53"/>
      <c r="I107" s="54"/>
      <c r="J107" s="55"/>
      <c r="K107" s="56"/>
      <c r="L107" s="50"/>
    </row>
    <row r="108" ht="15.75" customHeight="1" spans="1:12" s="1" customFormat="1" x14ac:dyDescent="0.25">
      <c r="A108" s="57"/>
      <c r="B108" s="57"/>
      <c r="C108" s="57"/>
      <c r="D108" s="57"/>
      <c r="E108" s="58"/>
      <c r="F108" s="58"/>
      <c r="G108" s="59"/>
      <c r="H108" s="60"/>
      <c r="I108" s="61"/>
      <c r="J108" s="62"/>
      <c r="K108" s="63"/>
      <c r="L108" s="57"/>
    </row>
    <row r="109" ht="15.75" customHeight="1" spans="1:12" s="1" customFormat="1" x14ac:dyDescent="0.25">
      <c r="A109" s="50"/>
      <c r="B109" s="50"/>
      <c r="C109" s="50"/>
      <c r="D109" s="50"/>
      <c r="E109" s="51"/>
      <c r="F109" s="51"/>
      <c r="G109" s="52"/>
      <c r="H109" s="53"/>
      <c r="I109" s="54"/>
      <c r="J109" s="55"/>
      <c r="K109" s="56"/>
      <c r="L109" s="50"/>
    </row>
    <row r="110" ht="15.75" customHeight="1" spans="1:12" s="1" customFormat="1" x14ac:dyDescent="0.25">
      <c r="A110" s="57"/>
      <c r="B110" s="57"/>
      <c r="C110" s="57"/>
      <c r="D110" s="57"/>
      <c r="E110" s="58"/>
      <c r="F110" s="58"/>
      <c r="G110" s="59"/>
      <c r="H110" s="60"/>
      <c r="I110" s="61"/>
      <c r="J110" s="62"/>
      <c r="K110" s="63"/>
      <c r="L110" s="57"/>
    </row>
    <row r="111" ht="15.75" customHeight="1" spans="1:12" s="1" customFormat="1" x14ac:dyDescent="0.25">
      <c r="A111" s="50"/>
      <c r="B111" s="50"/>
      <c r="C111" s="50"/>
      <c r="D111" s="50"/>
      <c r="E111" s="51"/>
      <c r="F111" s="51"/>
      <c r="G111" s="52"/>
      <c r="H111" s="53"/>
      <c r="I111" s="54"/>
      <c r="J111" s="55"/>
      <c r="K111" s="56"/>
      <c r="L111" s="50"/>
    </row>
    <row r="112" ht="15.75" customHeight="1" spans="1:12" s="1" customFormat="1" x14ac:dyDescent="0.25">
      <c r="A112" s="57"/>
      <c r="B112" s="57"/>
      <c r="C112" s="57"/>
      <c r="D112" s="57"/>
      <c r="E112" s="58"/>
      <c r="F112" s="58"/>
      <c r="G112" s="59"/>
      <c r="H112" s="60"/>
      <c r="I112" s="61"/>
      <c r="J112" s="62"/>
      <c r="K112" s="63"/>
      <c r="L112" s="57"/>
    </row>
    <row r="113" ht="15.75" customHeight="1" spans="1:12" s="1" customFormat="1" x14ac:dyDescent="0.25">
      <c r="A113" s="50"/>
      <c r="B113" s="50"/>
      <c r="C113" s="50"/>
      <c r="D113" s="50"/>
      <c r="E113" s="51"/>
      <c r="F113" s="51"/>
      <c r="G113" s="52"/>
      <c r="H113" s="53"/>
      <c r="I113" s="54"/>
      <c r="J113" s="55"/>
      <c r="K113" s="56"/>
      <c r="L113" s="50"/>
    </row>
    <row r="114" ht="15.75" customHeight="1" spans="1:12" s="1" customFormat="1" x14ac:dyDescent="0.25">
      <c r="A114" s="57"/>
      <c r="B114" s="57"/>
      <c r="C114" s="57"/>
      <c r="D114" s="57"/>
      <c r="E114" s="58"/>
      <c r="F114" s="58"/>
      <c r="G114" s="59"/>
      <c r="H114" s="60"/>
      <c r="I114" s="61"/>
      <c r="J114" s="62"/>
      <c r="K114" s="63"/>
      <c r="L114" s="57"/>
    </row>
    <row r="115" ht="15.75" customHeight="1" spans="1:12" s="1" customFormat="1" x14ac:dyDescent="0.25">
      <c r="A115" s="50"/>
      <c r="B115" s="50"/>
      <c r="C115" s="50"/>
      <c r="D115" s="50"/>
      <c r="E115" s="51"/>
      <c r="F115" s="51"/>
      <c r="G115" s="52"/>
      <c r="H115" s="53"/>
      <c r="I115" s="54"/>
      <c r="J115" s="55"/>
      <c r="K115" s="56"/>
      <c r="L115" s="50"/>
    </row>
    <row r="116" ht="15.75" customHeight="1" spans="1:12" s="1" customFormat="1" x14ac:dyDescent="0.25">
      <c r="A116" s="57"/>
      <c r="B116" s="57"/>
      <c r="C116" s="57"/>
      <c r="D116" s="57"/>
      <c r="E116" s="58"/>
      <c r="F116" s="58"/>
      <c r="G116" s="59"/>
      <c r="H116" s="60"/>
      <c r="I116" s="61"/>
      <c r="J116" s="62"/>
      <c r="K116" s="63"/>
      <c r="L116" s="57"/>
    </row>
    <row r="117" ht="15.75" customHeight="1" spans="1:12" s="1" customFormat="1" x14ac:dyDescent="0.25">
      <c r="A117" s="50"/>
      <c r="B117" s="50"/>
      <c r="C117" s="50"/>
      <c r="D117" s="50"/>
      <c r="E117" s="51"/>
      <c r="F117" s="51"/>
      <c r="G117" s="52"/>
      <c r="H117" s="53"/>
      <c r="I117" s="54"/>
      <c r="J117" s="55"/>
      <c r="K117" s="56"/>
      <c r="L117" s="50"/>
    </row>
    <row r="118" ht="15.75" customHeight="1" spans="1:12" s="1" customFormat="1" x14ac:dyDescent="0.25">
      <c r="A118" s="57"/>
      <c r="B118" s="57"/>
      <c r="C118" s="57"/>
      <c r="D118" s="57"/>
      <c r="E118" s="58"/>
      <c r="F118" s="58"/>
      <c r="G118" s="59"/>
      <c r="H118" s="60"/>
      <c r="I118" s="61"/>
      <c r="J118" s="62"/>
      <c r="K118" s="63"/>
      <c r="L118" s="57"/>
    </row>
    <row r="119" ht="15.75" customHeight="1" spans="1:12" s="1" customFormat="1" x14ac:dyDescent="0.25">
      <c r="A119" s="50"/>
      <c r="B119" s="50"/>
      <c r="C119" s="50"/>
      <c r="D119" s="50"/>
      <c r="E119" s="51"/>
      <c r="F119" s="51"/>
      <c r="G119" s="52"/>
      <c r="H119" s="53"/>
      <c r="I119" s="54"/>
      <c r="J119" s="55"/>
      <c r="K119" s="56"/>
      <c r="L119" s="50"/>
    </row>
    <row r="120" ht="15.75" customHeight="1" spans="1:12" s="1" customFormat="1" x14ac:dyDescent="0.25">
      <c r="A120" s="57"/>
      <c r="B120" s="57"/>
      <c r="C120" s="57"/>
      <c r="D120" s="57"/>
      <c r="E120" s="58"/>
      <c r="F120" s="58"/>
      <c r="G120" s="59"/>
      <c r="H120" s="60"/>
      <c r="I120" s="61"/>
      <c r="J120" s="62"/>
      <c r="K120" s="63"/>
      <c r="L120" s="57"/>
    </row>
    <row r="121" ht="15.75" customHeight="1" spans="1:12" s="1" customFormat="1" x14ac:dyDescent="0.25">
      <c r="A121" s="50"/>
      <c r="B121" s="50"/>
      <c r="C121" s="50"/>
      <c r="D121" s="50"/>
      <c r="E121" s="51"/>
      <c r="F121" s="51"/>
      <c r="G121" s="52"/>
      <c r="H121" s="53"/>
      <c r="I121" s="54"/>
      <c r="J121" s="55"/>
      <c r="K121" s="56"/>
      <c r="L121" s="50"/>
    </row>
    <row r="122" ht="15.75" customHeight="1" spans="1:12" s="1" customFormat="1" x14ac:dyDescent="0.25">
      <c r="A122" s="57"/>
      <c r="B122" s="57"/>
      <c r="C122" s="57"/>
      <c r="D122" s="57"/>
      <c r="E122" s="58"/>
      <c r="F122" s="58"/>
      <c r="G122" s="59"/>
      <c r="H122" s="60"/>
      <c r="I122" s="61"/>
      <c r="J122" s="62"/>
      <c r="K122" s="63"/>
      <c r="L122" s="57"/>
    </row>
    <row r="123" ht="15.75" customHeight="1" spans="1:12" s="1" customFormat="1" x14ac:dyDescent="0.25">
      <c r="A123" s="50"/>
      <c r="B123" s="50"/>
      <c r="C123" s="50"/>
      <c r="D123" s="50"/>
      <c r="E123" s="51"/>
      <c r="F123" s="51"/>
      <c r="G123" s="52"/>
      <c r="H123" s="53"/>
      <c r="I123" s="54"/>
      <c r="J123" s="55"/>
      <c r="K123" s="56"/>
      <c r="L123" s="50"/>
    </row>
    <row r="124" ht="15.75" customHeight="1" spans="1:12" s="1" customFormat="1" x14ac:dyDescent="0.25">
      <c r="A124" s="57"/>
      <c r="B124" s="57"/>
      <c r="C124" s="57"/>
      <c r="D124" s="57"/>
      <c r="E124" s="58"/>
      <c r="F124" s="58"/>
      <c r="G124" s="59"/>
      <c r="H124" s="60"/>
      <c r="I124" s="61"/>
      <c r="J124" s="62"/>
      <c r="K124" s="63"/>
      <c r="L124" s="57"/>
    </row>
    <row r="125" ht="15.75" customHeight="1" spans="1:12" s="1" customFormat="1" x14ac:dyDescent="0.25">
      <c r="A125" s="50"/>
      <c r="B125" s="50"/>
      <c r="C125" s="50"/>
      <c r="D125" s="50"/>
      <c r="E125" s="51"/>
      <c r="F125" s="51"/>
      <c r="G125" s="52"/>
      <c r="H125" s="53"/>
      <c r="I125" s="54"/>
      <c r="J125" s="55"/>
      <c r="K125" s="56"/>
      <c r="L125" s="50"/>
    </row>
    <row r="126" ht="15.75" customHeight="1" spans="1:12" s="1" customFormat="1" x14ac:dyDescent="0.25">
      <c r="A126" s="57"/>
      <c r="B126" s="57"/>
      <c r="C126" s="57"/>
      <c r="D126" s="57"/>
      <c r="E126" s="58"/>
      <c r="F126" s="58"/>
      <c r="G126" s="59"/>
      <c r="H126" s="60"/>
      <c r="I126" s="61"/>
      <c r="J126" s="62"/>
      <c r="K126" s="63"/>
      <c r="L126" s="57"/>
    </row>
    <row r="127" ht="15.75" customHeight="1" spans="1:12" s="1" customFormat="1" x14ac:dyDescent="0.25">
      <c r="A127" s="50"/>
      <c r="B127" s="50"/>
      <c r="C127" s="50"/>
      <c r="D127" s="50"/>
      <c r="E127" s="51"/>
      <c r="F127" s="51"/>
      <c r="G127" s="52"/>
      <c r="H127" s="53"/>
      <c r="I127" s="54"/>
      <c r="J127" s="55"/>
      <c r="K127" s="56"/>
      <c r="L127" s="50"/>
    </row>
    <row r="128" ht="15.75" customHeight="1" spans="1:12" s="1" customFormat="1" x14ac:dyDescent="0.25">
      <c r="A128" s="57"/>
      <c r="B128" s="57"/>
      <c r="C128" s="57"/>
      <c r="D128" s="57"/>
      <c r="E128" s="58"/>
      <c r="F128" s="58"/>
      <c r="G128" s="59"/>
      <c r="H128" s="60"/>
      <c r="I128" s="61"/>
      <c r="J128" s="62"/>
      <c r="K128" s="63"/>
      <c r="L128" s="57"/>
    </row>
    <row r="129" ht="15.75" customHeight="1" spans="1:12" s="1" customFormat="1" x14ac:dyDescent="0.25">
      <c r="A129" s="50"/>
      <c r="B129" s="50"/>
      <c r="C129" s="50"/>
      <c r="D129" s="50"/>
      <c r="E129" s="51"/>
      <c r="F129" s="51"/>
      <c r="G129" s="52"/>
      <c r="H129" s="53"/>
      <c r="I129" s="54"/>
      <c r="J129" s="55"/>
      <c r="K129" s="56"/>
      <c r="L129" s="50"/>
    </row>
    <row r="130" ht="15.75" customHeight="1" spans="1:12" s="1" customFormat="1" x14ac:dyDescent="0.25">
      <c r="A130" s="57"/>
      <c r="B130" s="57"/>
      <c r="C130" s="57"/>
      <c r="D130" s="57"/>
      <c r="E130" s="58"/>
      <c r="F130" s="58"/>
      <c r="G130" s="59"/>
      <c r="H130" s="60"/>
      <c r="I130" s="61"/>
      <c r="J130" s="62"/>
      <c r="K130" s="63"/>
      <c r="L130" s="57"/>
    </row>
    <row r="131" ht="15.75" customHeight="1" spans="1:12" s="1" customFormat="1" x14ac:dyDescent="0.25">
      <c r="A131" s="50"/>
      <c r="B131" s="50"/>
      <c r="C131" s="50"/>
      <c r="D131" s="50"/>
      <c r="E131" s="51"/>
      <c r="F131" s="51"/>
      <c r="G131" s="52"/>
      <c r="H131" s="53"/>
      <c r="I131" s="54"/>
      <c r="J131" s="55"/>
      <c r="K131" s="56"/>
      <c r="L131" s="50"/>
    </row>
    <row r="132" ht="15.75" customHeight="1" spans="1:12" s="1" customFormat="1" x14ac:dyDescent="0.25">
      <c r="A132" s="57"/>
      <c r="B132" s="57"/>
      <c r="C132" s="57"/>
      <c r="D132" s="57"/>
      <c r="E132" s="58"/>
      <c r="F132" s="58"/>
      <c r="G132" s="59"/>
      <c r="H132" s="60"/>
      <c r="I132" s="61"/>
      <c r="J132" s="62"/>
      <c r="K132" s="63"/>
      <c r="L132" s="57"/>
    </row>
    <row r="133" ht="15.75" customHeight="1" spans="1:12" s="1" customFormat="1" x14ac:dyDescent="0.25">
      <c r="A133" s="50"/>
      <c r="B133" s="50"/>
      <c r="C133" s="50"/>
      <c r="D133" s="50"/>
      <c r="E133" s="51"/>
      <c r="F133" s="51"/>
      <c r="G133" s="52"/>
      <c r="H133" s="53"/>
      <c r="I133" s="54"/>
      <c r="J133" s="55"/>
      <c r="K133" s="56"/>
      <c r="L133" s="50"/>
    </row>
    <row r="134" ht="15.75" customHeight="1" spans="1:12" s="1" customFormat="1" x14ac:dyDescent="0.25">
      <c r="A134" s="57"/>
      <c r="B134" s="57"/>
      <c r="C134" s="57"/>
      <c r="D134" s="57"/>
      <c r="E134" s="58"/>
      <c r="F134" s="58"/>
      <c r="G134" s="59"/>
      <c r="H134" s="60"/>
      <c r="I134" s="61"/>
      <c r="J134" s="62"/>
      <c r="K134" s="63"/>
      <c r="L134" s="57"/>
    </row>
    <row r="135" ht="15.75" customHeight="1" spans="1:12" s="1" customFormat="1" x14ac:dyDescent="0.25">
      <c r="A135" s="50"/>
      <c r="B135" s="50"/>
      <c r="C135" s="50"/>
      <c r="D135" s="50"/>
      <c r="E135" s="51"/>
      <c r="F135" s="51"/>
      <c r="G135" s="52"/>
      <c r="H135" s="53"/>
      <c r="I135" s="54"/>
      <c r="J135" s="55"/>
      <c r="K135" s="56"/>
      <c r="L135" s="50"/>
    </row>
    <row r="136" ht="15.75" customHeight="1" spans="1:12" s="1" customFormat="1" x14ac:dyDescent="0.25">
      <c r="A136" s="57"/>
      <c r="B136" s="57"/>
      <c r="C136" s="57"/>
      <c r="D136" s="57"/>
      <c r="E136" s="58"/>
      <c r="F136" s="58"/>
      <c r="G136" s="59"/>
      <c r="H136" s="60"/>
      <c r="I136" s="61"/>
      <c r="J136" s="62"/>
      <c r="K136" s="63"/>
      <c r="L136" s="57"/>
    </row>
    <row r="137" ht="15.75" customHeight="1" spans="1:12" s="1" customFormat="1" x14ac:dyDescent="0.25">
      <c r="A137" s="50"/>
      <c r="B137" s="50"/>
      <c r="C137" s="50"/>
      <c r="D137" s="50"/>
      <c r="E137" s="51"/>
      <c r="F137" s="51"/>
      <c r="G137" s="52"/>
      <c r="H137" s="53"/>
      <c r="I137" s="54"/>
      <c r="J137" s="55"/>
      <c r="K137" s="56"/>
      <c r="L137" s="50"/>
    </row>
    <row r="138" ht="15.75" customHeight="1" spans="1:12" s="1" customFormat="1" x14ac:dyDescent="0.25">
      <c r="A138" s="57"/>
      <c r="B138" s="57"/>
      <c r="C138" s="57"/>
      <c r="D138" s="57"/>
      <c r="E138" s="58"/>
      <c r="F138" s="58"/>
      <c r="G138" s="59"/>
      <c r="H138" s="60"/>
      <c r="I138" s="61"/>
      <c r="J138" s="62"/>
      <c r="K138" s="63"/>
      <c r="L138" s="57"/>
    </row>
    <row r="139" ht="15.75" customHeight="1" spans="1:12" s="1" customFormat="1" x14ac:dyDescent="0.25">
      <c r="A139" s="50"/>
      <c r="B139" s="50"/>
      <c r="C139" s="50"/>
      <c r="D139" s="50"/>
      <c r="E139" s="51"/>
      <c r="F139" s="51"/>
      <c r="G139" s="52"/>
      <c r="H139" s="53"/>
      <c r="I139" s="54"/>
      <c r="J139" s="55"/>
      <c r="K139" s="56"/>
      <c r="L139" s="50"/>
    </row>
    <row r="140" ht="15.75" customHeight="1" spans="1:12" s="1" customFormat="1" x14ac:dyDescent="0.25">
      <c r="A140" s="57"/>
      <c r="B140" s="57"/>
      <c r="C140" s="57"/>
      <c r="D140" s="57"/>
      <c r="E140" s="58"/>
      <c r="F140" s="58"/>
      <c r="G140" s="59"/>
      <c r="H140" s="60"/>
      <c r="I140" s="61"/>
      <c r="J140" s="62"/>
      <c r="K140" s="63"/>
      <c r="L140" s="57"/>
    </row>
    <row r="141" ht="15.75" customHeight="1" spans="1:12" s="1" customFormat="1" x14ac:dyDescent="0.25">
      <c r="A141" s="50"/>
      <c r="B141" s="50"/>
      <c r="C141" s="50"/>
      <c r="D141" s="50"/>
      <c r="E141" s="51"/>
      <c r="F141" s="51"/>
      <c r="G141" s="52"/>
      <c r="H141" s="53"/>
      <c r="I141" s="54"/>
      <c r="J141" s="55"/>
      <c r="K141" s="56"/>
      <c r="L141" s="50"/>
    </row>
    <row r="142" ht="15.75" customHeight="1" spans="1:12" s="1" customFormat="1" x14ac:dyDescent="0.25">
      <c r="A142" s="57"/>
      <c r="B142" s="57"/>
      <c r="C142" s="57"/>
      <c r="D142" s="57"/>
      <c r="E142" s="58"/>
      <c r="F142" s="58"/>
      <c r="G142" s="59"/>
      <c r="H142" s="60"/>
      <c r="I142" s="61"/>
      <c r="J142" s="62"/>
      <c r="K142" s="63"/>
      <c r="L142" s="57"/>
    </row>
    <row r="143" ht="15.75" customHeight="1" spans="1:12" s="1" customFormat="1" x14ac:dyDescent="0.25">
      <c r="A143" s="50"/>
      <c r="B143" s="50"/>
      <c r="C143" s="50"/>
      <c r="D143" s="50"/>
      <c r="E143" s="51"/>
      <c r="F143" s="51"/>
      <c r="G143" s="52"/>
      <c r="H143" s="53"/>
      <c r="I143" s="54"/>
      <c r="J143" s="55"/>
      <c r="K143" s="56"/>
      <c r="L143" s="50"/>
    </row>
    <row r="144" ht="15.75" customHeight="1" spans="1:12" s="1" customFormat="1" x14ac:dyDescent="0.25">
      <c r="A144" s="57"/>
      <c r="B144" s="57"/>
      <c r="C144" s="57"/>
      <c r="D144" s="57"/>
      <c r="E144" s="58"/>
      <c r="F144" s="58"/>
      <c r="G144" s="59"/>
      <c r="H144" s="60"/>
      <c r="I144" s="61"/>
      <c r="J144" s="62"/>
      <c r="K144" s="63"/>
      <c r="L144" s="57"/>
    </row>
    <row r="145" ht="15.75" customHeight="1" spans="1:12" s="1" customFormat="1" x14ac:dyDescent="0.25">
      <c r="A145" s="50"/>
      <c r="B145" s="50"/>
      <c r="C145" s="50"/>
      <c r="D145" s="50"/>
      <c r="E145" s="51"/>
      <c r="F145" s="51"/>
      <c r="G145" s="52"/>
      <c r="H145" s="53"/>
      <c r="I145" s="54"/>
      <c r="J145" s="55"/>
      <c r="K145" s="56"/>
      <c r="L145" s="50"/>
    </row>
    <row r="146" ht="15.75" customHeight="1" spans="1:12" s="1" customFormat="1" x14ac:dyDescent="0.25">
      <c r="A146" s="57"/>
      <c r="B146" s="57"/>
      <c r="C146" s="57"/>
      <c r="D146" s="57"/>
      <c r="E146" s="58"/>
      <c r="F146" s="58"/>
      <c r="G146" s="59"/>
      <c r="H146" s="60"/>
      <c r="I146" s="61"/>
      <c r="J146" s="62"/>
      <c r="K146" s="63"/>
      <c r="L146" s="57"/>
    </row>
    <row r="147" ht="15.75" customHeight="1" spans="1:12" s="1" customFormat="1" x14ac:dyDescent="0.25">
      <c r="A147" s="50"/>
      <c r="B147" s="50"/>
      <c r="C147" s="50"/>
      <c r="D147" s="50"/>
      <c r="E147" s="51"/>
      <c r="F147" s="51"/>
      <c r="G147" s="52"/>
      <c r="H147" s="53"/>
      <c r="I147" s="54"/>
      <c r="J147" s="55"/>
      <c r="K147" s="56"/>
      <c r="L147" s="50"/>
    </row>
    <row r="148" ht="15.75" customHeight="1" spans="1:12" s="1" customFormat="1" x14ac:dyDescent="0.25">
      <c r="A148" s="57"/>
      <c r="B148" s="57"/>
      <c r="C148" s="57"/>
      <c r="D148" s="57"/>
      <c r="E148" s="58"/>
      <c r="F148" s="58"/>
      <c r="G148" s="59"/>
      <c r="H148" s="60"/>
      <c r="I148" s="61"/>
      <c r="J148" s="62"/>
      <c r="K148" s="63"/>
      <c r="L148" s="57"/>
    </row>
    <row r="149" ht="15.75" customHeight="1" spans="1:12" s="1" customFormat="1" x14ac:dyDescent="0.25">
      <c r="A149" s="50"/>
      <c r="B149" s="50"/>
      <c r="C149" s="50"/>
      <c r="D149" s="50"/>
      <c r="E149" s="51"/>
      <c r="F149" s="51"/>
      <c r="G149" s="52"/>
      <c r="H149" s="53"/>
      <c r="I149" s="54"/>
      <c r="J149" s="55"/>
      <c r="K149" s="56"/>
      <c r="L149" s="50"/>
    </row>
    <row r="150" ht="15.75" customHeight="1" spans="1:12" s="1" customFormat="1" x14ac:dyDescent="0.25">
      <c r="A150" s="57"/>
      <c r="B150" s="57"/>
      <c r="C150" s="57"/>
      <c r="D150" s="57"/>
      <c r="E150" s="58"/>
      <c r="F150" s="58"/>
      <c r="G150" s="59"/>
      <c r="H150" s="60"/>
      <c r="I150" s="61"/>
      <c r="J150" s="62"/>
      <c r="K150" s="63"/>
      <c r="L150" s="57"/>
    </row>
    <row r="151" ht="15.75" customHeight="1" spans="1:12" s="1" customFormat="1" x14ac:dyDescent="0.25">
      <c r="A151" s="50"/>
      <c r="B151" s="50"/>
      <c r="C151" s="50"/>
      <c r="D151" s="50"/>
      <c r="E151" s="51"/>
      <c r="F151" s="51"/>
      <c r="G151" s="52"/>
      <c r="H151" s="53"/>
      <c r="I151" s="54"/>
      <c r="J151" s="55"/>
      <c r="K151" s="56"/>
      <c r="L151" s="50"/>
    </row>
    <row r="152" ht="15.75" customHeight="1" spans="1:12" s="1" customFormat="1" x14ac:dyDescent="0.25">
      <c r="A152" s="57"/>
      <c r="B152" s="57"/>
      <c r="C152" s="57"/>
      <c r="D152" s="57"/>
      <c r="E152" s="58"/>
      <c r="F152" s="58"/>
      <c r="G152" s="59"/>
      <c r="H152" s="60"/>
      <c r="I152" s="61"/>
      <c r="J152" s="62"/>
      <c r="K152" s="63"/>
      <c r="L152" s="57"/>
    </row>
    <row r="153" ht="15.75" customHeight="1" spans="1:12" s="1" customFormat="1" x14ac:dyDescent="0.25">
      <c r="A153" s="50"/>
      <c r="B153" s="50"/>
      <c r="C153" s="50"/>
      <c r="D153" s="50"/>
      <c r="E153" s="51"/>
      <c r="F153" s="51"/>
      <c r="G153" s="52"/>
      <c r="H153" s="53"/>
      <c r="I153" s="54"/>
      <c r="J153" s="55"/>
      <c r="K153" s="56"/>
      <c r="L153" s="50"/>
    </row>
    <row r="154" ht="15.75" customHeight="1" spans="1:12" s="1" customFormat="1" x14ac:dyDescent="0.25">
      <c r="A154" s="57"/>
      <c r="B154" s="57"/>
      <c r="C154" s="57"/>
      <c r="D154" s="57"/>
      <c r="E154" s="58"/>
      <c r="F154" s="58"/>
      <c r="G154" s="59"/>
      <c r="H154" s="60"/>
      <c r="I154" s="61"/>
      <c r="J154" s="62"/>
      <c r="K154" s="63"/>
      <c r="L154" s="57"/>
    </row>
    <row r="155" ht="15.75" customHeight="1" spans="1:12" s="1" customFormat="1" x14ac:dyDescent="0.25">
      <c r="A155" s="50"/>
      <c r="B155" s="50"/>
      <c r="C155" s="50"/>
      <c r="D155" s="50"/>
      <c r="E155" s="51"/>
      <c r="F155" s="51"/>
      <c r="G155" s="52"/>
      <c r="H155" s="53"/>
      <c r="I155" s="54"/>
      <c r="J155" s="55"/>
      <c r="K155" s="56"/>
      <c r="L155" s="50"/>
    </row>
    <row r="156" ht="15.75" customHeight="1" spans="1:12" s="1" customFormat="1" x14ac:dyDescent="0.25">
      <c r="A156" s="57"/>
      <c r="B156" s="57"/>
      <c r="C156" s="57"/>
      <c r="D156" s="57"/>
      <c r="E156" s="58"/>
      <c r="F156" s="58"/>
      <c r="G156" s="59"/>
      <c r="H156" s="60"/>
      <c r="I156" s="61"/>
      <c r="J156" s="62"/>
      <c r="K156" s="63"/>
      <c r="L156" s="57"/>
    </row>
    <row r="157" ht="15.75" customHeight="1" spans="1:12" s="1" customFormat="1" x14ac:dyDescent="0.25">
      <c r="A157" s="50"/>
      <c r="B157" s="50"/>
      <c r="C157" s="50"/>
      <c r="D157" s="50"/>
      <c r="E157" s="51"/>
      <c r="F157" s="51"/>
      <c r="G157" s="52"/>
      <c r="H157" s="53"/>
      <c r="I157" s="54"/>
      <c r="J157" s="55"/>
      <c r="K157" s="56"/>
      <c r="L157" s="50"/>
    </row>
    <row r="158" ht="15.75" customHeight="1" spans="1:12" s="1" customFormat="1" x14ac:dyDescent="0.25">
      <c r="A158" s="57"/>
      <c r="B158" s="57"/>
      <c r="C158" s="57"/>
      <c r="D158" s="57"/>
      <c r="E158" s="58"/>
      <c r="F158" s="58"/>
      <c r="G158" s="59"/>
      <c r="H158" s="60"/>
      <c r="I158" s="61"/>
      <c r="J158" s="62"/>
      <c r="K158" s="63"/>
      <c r="L158" s="57"/>
    </row>
    <row r="159" ht="15.75" customHeight="1" spans="1:12" s="1" customFormat="1" x14ac:dyDescent="0.25">
      <c r="A159" s="50"/>
      <c r="B159" s="50"/>
      <c r="C159" s="50"/>
      <c r="D159" s="50"/>
      <c r="E159" s="51"/>
      <c r="F159" s="51"/>
      <c r="G159" s="52"/>
      <c r="H159" s="53"/>
      <c r="I159" s="54"/>
      <c r="J159" s="55"/>
      <c r="K159" s="56"/>
      <c r="L159" s="50"/>
    </row>
    <row r="160" ht="15.75" customHeight="1" spans="1:12" s="1" customFormat="1" x14ac:dyDescent="0.25">
      <c r="A160" s="57"/>
      <c r="B160" s="57"/>
      <c r="C160" s="57"/>
      <c r="D160" s="57"/>
      <c r="E160" s="58"/>
      <c r="F160" s="58"/>
      <c r="G160" s="59"/>
      <c r="H160" s="60"/>
      <c r="I160" s="61"/>
      <c r="J160" s="62"/>
      <c r="K160" s="63"/>
      <c r="L160" s="57"/>
    </row>
    <row r="161" ht="15.75" customHeight="1" spans="1:12" s="1" customFormat="1" x14ac:dyDescent="0.25">
      <c r="A161" s="50"/>
      <c r="B161" s="50"/>
      <c r="C161" s="50"/>
      <c r="D161" s="50"/>
      <c r="E161" s="51"/>
      <c r="F161" s="51"/>
      <c r="G161" s="52"/>
      <c r="H161" s="53"/>
      <c r="I161" s="54"/>
      <c r="J161" s="55"/>
      <c r="K161" s="56"/>
      <c r="L161" s="50"/>
    </row>
    <row r="162" ht="15.75" customHeight="1" spans="1:12" s="1" customFormat="1" x14ac:dyDescent="0.25">
      <c r="A162" s="57"/>
      <c r="B162" s="57"/>
      <c r="C162" s="57"/>
      <c r="D162" s="57"/>
      <c r="E162" s="58"/>
      <c r="F162" s="58"/>
      <c r="G162" s="59"/>
      <c r="H162" s="60"/>
      <c r="I162" s="61"/>
      <c r="J162" s="62"/>
      <c r="K162" s="63"/>
      <c r="L162" s="57"/>
    </row>
    <row r="163" ht="15.75" customHeight="1" spans="1:12" s="1" customFormat="1" x14ac:dyDescent="0.25">
      <c r="A163" s="50"/>
      <c r="B163" s="50"/>
      <c r="C163" s="50"/>
      <c r="D163" s="50"/>
      <c r="E163" s="51"/>
      <c r="F163" s="51"/>
      <c r="G163" s="52"/>
      <c r="H163" s="53"/>
      <c r="I163" s="54"/>
      <c r="J163" s="55"/>
      <c r="K163" s="56"/>
      <c r="L163" s="50"/>
    </row>
    <row r="164" ht="15.75" customHeight="1" spans="1:12" s="1" customFormat="1" x14ac:dyDescent="0.25">
      <c r="A164" s="57"/>
      <c r="B164" s="57"/>
      <c r="C164" s="57"/>
      <c r="D164" s="57"/>
      <c r="E164" s="58"/>
      <c r="F164" s="58"/>
      <c r="G164" s="59"/>
      <c r="H164" s="60"/>
      <c r="I164" s="61"/>
      <c r="J164" s="62"/>
      <c r="K164" s="63"/>
      <c r="L164" s="57"/>
    </row>
    <row r="165" ht="15.75" customHeight="1" spans="1:12" s="1" customFormat="1" x14ac:dyDescent="0.25">
      <c r="A165" s="50"/>
      <c r="B165" s="50"/>
      <c r="C165" s="50"/>
      <c r="D165" s="50"/>
      <c r="E165" s="51"/>
      <c r="F165" s="51"/>
      <c r="G165" s="52"/>
      <c r="H165" s="53"/>
      <c r="I165" s="54"/>
      <c r="J165" s="55"/>
      <c r="K165" s="56"/>
      <c r="L165" s="50"/>
    </row>
    <row r="166" ht="15.75" customHeight="1" spans="1:12" s="1" customFormat="1" x14ac:dyDescent="0.25">
      <c r="A166" s="57"/>
      <c r="B166" s="57"/>
      <c r="C166" s="57"/>
      <c r="D166" s="57"/>
      <c r="E166" s="58"/>
      <c r="F166" s="58"/>
      <c r="G166" s="59"/>
      <c r="H166" s="60"/>
      <c r="I166" s="61"/>
      <c r="J166" s="62"/>
      <c r="K166" s="63"/>
      <c r="L166" s="57"/>
    </row>
    <row r="167" ht="15.75" customHeight="1" spans="1:12" s="1" customFormat="1" x14ac:dyDescent="0.25">
      <c r="A167" s="50"/>
      <c r="B167" s="50"/>
      <c r="C167" s="50"/>
      <c r="D167" s="50"/>
      <c r="E167" s="51"/>
      <c r="F167" s="51"/>
      <c r="G167" s="52"/>
      <c r="H167" s="53"/>
      <c r="I167" s="54"/>
      <c r="J167" s="55"/>
      <c r="K167" s="56"/>
      <c r="L167" s="50"/>
    </row>
    <row r="168" ht="15.75" customHeight="1" spans="1:12" s="1" customFormat="1" x14ac:dyDescent="0.25">
      <c r="A168" s="57"/>
      <c r="B168" s="57"/>
      <c r="C168" s="57"/>
      <c r="D168" s="57"/>
      <c r="E168" s="58"/>
      <c r="F168" s="58"/>
      <c r="G168" s="59"/>
      <c r="H168" s="60"/>
      <c r="I168" s="61"/>
      <c r="J168" s="62"/>
      <c r="K168" s="63"/>
      <c r="L168" s="57"/>
    </row>
    <row r="169" ht="15.75" customHeight="1" spans="1:12" s="1" customFormat="1" x14ac:dyDescent="0.25">
      <c r="A169" s="50"/>
      <c r="B169" s="50"/>
      <c r="C169" s="50"/>
      <c r="D169" s="50"/>
      <c r="E169" s="51"/>
      <c r="F169" s="51"/>
      <c r="G169" s="52"/>
      <c r="H169" s="53"/>
      <c r="I169" s="54"/>
      <c r="J169" s="55"/>
      <c r="K169" s="56"/>
      <c r="L169" s="50"/>
    </row>
    <row r="170" ht="15.75" customHeight="1" spans="1:12" s="1" customFormat="1" x14ac:dyDescent="0.25">
      <c r="A170" s="57"/>
      <c r="B170" s="57"/>
      <c r="C170" s="57"/>
      <c r="D170" s="57"/>
      <c r="E170" s="58"/>
      <c r="F170" s="58"/>
      <c r="G170" s="59"/>
      <c r="H170" s="60"/>
      <c r="I170" s="61"/>
      <c r="J170" s="62"/>
      <c r="K170" s="63"/>
      <c r="L170" s="57"/>
    </row>
    <row r="171" ht="15.75" customHeight="1" spans="1:12" s="1" customFormat="1" x14ac:dyDescent="0.25">
      <c r="A171" s="50"/>
      <c r="B171" s="50"/>
      <c r="C171" s="50"/>
      <c r="D171" s="50"/>
      <c r="E171" s="51"/>
      <c r="F171" s="51"/>
      <c r="G171" s="52"/>
      <c r="H171" s="53"/>
      <c r="I171" s="54"/>
      <c r="J171" s="55"/>
      <c r="K171" s="56"/>
      <c r="L171" s="50"/>
    </row>
    <row r="172" ht="15.75" customHeight="1" spans="1:12" s="1" customFormat="1" x14ac:dyDescent="0.25">
      <c r="A172" s="57"/>
      <c r="B172" s="57"/>
      <c r="C172" s="57"/>
      <c r="D172" s="57"/>
      <c r="E172" s="58"/>
      <c r="F172" s="58"/>
      <c r="G172" s="59"/>
      <c r="H172" s="60"/>
      <c r="I172" s="61"/>
      <c r="J172" s="62"/>
      <c r="K172" s="63"/>
      <c r="L172" s="57"/>
    </row>
    <row r="173" ht="15.75" customHeight="1" spans="1:12" s="1" customFormat="1" x14ac:dyDescent="0.25">
      <c r="A173" s="50"/>
      <c r="B173" s="50"/>
      <c r="C173" s="50"/>
      <c r="D173" s="50"/>
      <c r="E173" s="51"/>
      <c r="F173" s="51"/>
      <c r="G173" s="52"/>
      <c r="H173" s="53"/>
      <c r="I173" s="54"/>
      <c r="J173" s="55"/>
      <c r="K173" s="56"/>
      <c r="L173" s="50"/>
    </row>
    <row r="174" ht="15.75" customHeight="1" spans="1:12" s="1" customFormat="1" x14ac:dyDescent="0.25">
      <c r="A174" s="57"/>
      <c r="B174" s="57"/>
      <c r="C174" s="57"/>
      <c r="D174" s="57"/>
      <c r="E174" s="58"/>
      <c r="F174" s="58"/>
      <c r="G174" s="59"/>
      <c r="H174" s="60"/>
      <c r="I174" s="61"/>
      <c r="J174" s="62"/>
      <c r="K174" s="63"/>
      <c r="L174" s="57"/>
    </row>
    <row r="175" ht="15.75" customHeight="1" spans="1:12" s="1" customFormat="1" x14ac:dyDescent="0.25">
      <c r="A175" s="50"/>
      <c r="B175" s="50"/>
      <c r="C175" s="50"/>
      <c r="D175" s="50"/>
      <c r="E175" s="51"/>
      <c r="F175" s="51"/>
      <c r="G175" s="52"/>
      <c r="H175" s="53"/>
      <c r="I175" s="54"/>
      <c r="J175" s="55"/>
      <c r="K175" s="56"/>
      <c r="L175" s="50"/>
    </row>
    <row r="176" ht="15.75" customHeight="1" spans="1:12" s="1" customFormat="1" x14ac:dyDescent="0.25">
      <c r="A176" s="57"/>
      <c r="B176" s="57"/>
      <c r="C176" s="57"/>
      <c r="D176" s="57"/>
      <c r="E176" s="58"/>
      <c r="F176" s="58"/>
      <c r="G176" s="59"/>
      <c r="H176" s="60"/>
      <c r="I176" s="61"/>
      <c r="J176" s="62"/>
      <c r="K176" s="63"/>
      <c r="L176" s="57"/>
    </row>
    <row r="177" ht="15.75" customHeight="1" spans="1:12" s="1" customFormat="1" x14ac:dyDescent="0.25">
      <c r="A177" s="50"/>
      <c r="B177" s="50"/>
      <c r="C177" s="50"/>
      <c r="D177" s="50"/>
      <c r="E177" s="51"/>
      <c r="F177" s="51"/>
      <c r="G177" s="52"/>
      <c r="H177" s="53"/>
      <c r="I177" s="54"/>
      <c r="J177" s="55"/>
      <c r="K177" s="56"/>
      <c r="L177" s="50"/>
    </row>
    <row r="178" ht="15.75" customHeight="1" spans="1:12" s="1" customFormat="1" x14ac:dyDescent="0.25">
      <c r="A178" s="57"/>
      <c r="B178" s="57"/>
      <c r="C178" s="57"/>
      <c r="D178" s="57"/>
      <c r="E178" s="58"/>
      <c r="F178" s="58"/>
      <c r="G178" s="59"/>
      <c r="H178" s="60"/>
      <c r="I178" s="61"/>
      <c r="J178" s="62"/>
      <c r="K178" s="63"/>
      <c r="L178" s="57"/>
    </row>
    <row r="179" ht="15.75" customHeight="1" spans="1:12" s="1" customFormat="1" x14ac:dyDescent="0.25">
      <c r="A179" s="50"/>
      <c r="B179" s="50"/>
      <c r="C179" s="50"/>
      <c r="D179" s="50"/>
      <c r="E179" s="51"/>
      <c r="F179" s="51"/>
      <c r="G179" s="52"/>
      <c r="H179" s="53"/>
      <c r="I179" s="54"/>
      <c r="J179" s="55"/>
      <c r="K179" s="56"/>
      <c r="L179" s="50"/>
    </row>
    <row r="180" ht="15.75" customHeight="1" spans="1:12" s="1" customFormat="1" x14ac:dyDescent="0.25">
      <c r="A180" s="57"/>
      <c r="B180" s="57"/>
      <c r="C180" s="57"/>
      <c r="D180" s="57"/>
      <c r="E180" s="58"/>
      <c r="F180" s="58"/>
      <c r="G180" s="59"/>
      <c r="H180" s="60"/>
      <c r="I180" s="61"/>
      <c r="J180" s="62"/>
      <c r="K180" s="63"/>
      <c r="L180" s="57"/>
    </row>
    <row r="181" ht="15.75" customHeight="1" spans="1:12" s="1" customFormat="1" x14ac:dyDescent="0.25">
      <c r="A181" s="50"/>
      <c r="B181" s="50"/>
      <c r="C181" s="50"/>
      <c r="D181" s="50"/>
      <c r="E181" s="51"/>
      <c r="F181" s="51"/>
      <c r="G181" s="52"/>
      <c r="H181" s="53"/>
      <c r="I181" s="54"/>
      <c r="J181" s="55"/>
      <c r="K181" s="56"/>
      <c r="L181" s="50"/>
    </row>
    <row r="182" ht="15.75" customHeight="1" spans="1:12" s="1" customFormat="1" x14ac:dyDescent="0.25">
      <c r="A182" s="57"/>
      <c r="B182" s="57"/>
      <c r="C182" s="57"/>
      <c r="D182" s="57"/>
      <c r="E182" s="58"/>
      <c r="F182" s="58"/>
      <c r="G182" s="59"/>
      <c r="H182" s="60"/>
      <c r="I182" s="61"/>
      <c r="J182" s="62"/>
      <c r="K182" s="63"/>
      <c r="L182" s="57"/>
    </row>
    <row r="183" ht="15.75" customHeight="1" spans="1:12" s="1" customFormat="1" x14ac:dyDescent="0.25">
      <c r="A183" s="50"/>
      <c r="B183" s="50"/>
      <c r="C183" s="50"/>
      <c r="D183" s="50"/>
      <c r="E183" s="51"/>
      <c r="F183" s="51"/>
      <c r="G183" s="52"/>
      <c r="H183" s="53"/>
      <c r="I183" s="54"/>
      <c r="J183" s="55"/>
      <c r="K183" s="56"/>
      <c r="L183" s="50"/>
    </row>
    <row r="184" ht="15.75" customHeight="1" spans="1:12" s="1" customFormat="1" x14ac:dyDescent="0.25">
      <c r="A184" s="57"/>
      <c r="B184" s="57"/>
      <c r="C184" s="57"/>
      <c r="D184" s="57"/>
      <c r="E184" s="58"/>
      <c r="F184" s="58"/>
      <c r="G184" s="59"/>
      <c r="H184" s="60"/>
      <c r="I184" s="61"/>
      <c r="J184" s="62"/>
      <c r="K184" s="63"/>
      <c r="L184" s="57"/>
    </row>
    <row r="185" ht="15.75" customHeight="1" spans="1:12" s="1" customFormat="1" x14ac:dyDescent="0.25">
      <c r="A185" s="50"/>
      <c r="B185" s="50"/>
      <c r="C185" s="50"/>
      <c r="D185" s="50"/>
      <c r="E185" s="51"/>
      <c r="F185" s="51"/>
      <c r="G185" s="52"/>
      <c r="H185" s="53"/>
      <c r="I185" s="54"/>
      <c r="J185" s="55"/>
      <c r="K185" s="56"/>
      <c r="L185" s="50"/>
    </row>
    <row r="186" ht="15.75" customHeight="1" spans="1:12" s="1" customFormat="1" x14ac:dyDescent="0.25">
      <c r="A186" s="57"/>
      <c r="B186" s="57"/>
      <c r="C186" s="57"/>
      <c r="D186" s="57"/>
      <c r="E186" s="58"/>
      <c r="F186" s="58"/>
      <c r="G186" s="59"/>
      <c r="H186" s="60"/>
      <c r="I186" s="61"/>
      <c r="J186" s="62"/>
      <c r="K186" s="63"/>
      <c r="L186" s="57"/>
    </row>
    <row r="187" ht="15.75" customHeight="1" spans="1:12" s="1" customFormat="1" x14ac:dyDescent="0.25">
      <c r="A187" s="50"/>
      <c r="B187" s="50"/>
      <c r="C187" s="50"/>
      <c r="D187" s="50"/>
      <c r="E187" s="51"/>
      <c r="F187" s="51"/>
      <c r="G187" s="52"/>
      <c r="H187" s="53"/>
      <c r="I187" s="54"/>
      <c r="J187" s="55"/>
      <c r="K187" s="56"/>
      <c r="L187" s="50"/>
    </row>
    <row r="188" ht="15.75" customHeight="1" spans="1:12" s="1" customFormat="1" x14ac:dyDescent="0.25">
      <c r="A188" s="57"/>
      <c r="B188" s="57"/>
      <c r="C188" s="57"/>
      <c r="D188" s="57"/>
      <c r="E188" s="58"/>
      <c r="F188" s="58"/>
      <c r="G188" s="59"/>
      <c r="H188" s="60"/>
      <c r="I188" s="61"/>
      <c r="J188" s="62"/>
      <c r="K188" s="63"/>
      <c r="L188" s="57"/>
    </row>
    <row r="189" ht="15.75" customHeight="1" spans="1:12" s="1" customFormat="1" x14ac:dyDescent="0.25">
      <c r="A189" s="50"/>
      <c r="B189" s="50"/>
      <c r="C189" s="50"/>
      <c r="D189" s="50"/>
      <c r="E189" s="51"/>
      <c r="F189" s="51"/>
      <c r="G189" s="52"/>
      <c r="H189" s="53"/>
      <c r="I189" s="54"/>
      <c r="J189" s="55"/>
      <c r="K189" s="56"/>
      <c r="L189" s="50"/>
    </row>
    <row r="190" ht="15.75" customHeight="1" spans="1:12" s="1" customFormat="1" x14ac:dyDescent="0.25">
      <c r="A190" s="57"/>
      <c r="B190" s="57"/>
      <c r="C190" s="57"/>
      <c r="D190" s="57"/>
      <c r="E190" s="58"/>
      <c r="F190" s="58"/>
      <c r="G190" s="59"/>
      <c r="H190" s="60"/>
      <c r="I190" s="61"/>
      <c r="J190" s="62"/>
      <c r="K190" s="63"/>
      <c r="L190" s="57"/>
    </row>
    <row r="191" ht="15.75" customHeight="1" spans="1:12" s="1" customFormat="1" x14ac:dyDescent="0.25">
      <c r="A191" s="50"/>
      <c r="B191" s="50"/>
      <c r="C191" s="50"/>
      <c r="D191" s="50"/>
      <c r="E191" s="51"/>
      <c r="F191" s="51"/>
      <c r="G191" s="52"/>
      <c r="H191" s="53"/>
      <c r="I191" s="54"/>
      <c r="J191" s="55"/>
      <c r="K191" s="56"/>
      <c r="L191" s="50"/>
    </row>
    <row r="192" ht="15.75" customHeight="1" spans="1:12" s="1" customFormat="1" x14ac:dyDescent="0.25">
      <c r="A192" s="57"/>
      <c r="B192" s="57"/>
      <c r="C192" s="57"/>
      <c r="D192" s="57"/>
      <c r="E192" s="58"/>
      <c r="F192" s="58"/>
      <c r="G192" s="59"/>
      <c r="H192" s="60"/>
      <c r="I192" s="61"/>
      <c r="J192" s="62"/>
      <c r="K192" s="63"/>
      <c r="L192" s="57"/>
    </row>
    <row r="193" ht="15.75" customHeight="1" spans="1:12" s="1" customFormat="1" x14ac:dyDescent="0.25">
      <c r="A193" s="50"/>
      <c r="B193" s="50"/>
      <c r="C193" s="50"/>
      <c r="D193" s="50"/>
      <c r="E193" s="51"/>
      <c r="F193" s="51"/>
      <c r="G193" s="52"/>
      <c r="H193" s="53"/>
      <c r="I193" s="54"/>
      <c r="J193" s="55"/>
      <c r="K193" s="56"/>
      <c r="L193" s="50"/>
    </row>
    <row r="194" ht="15.75" customHeight="1" spans="1:12" s="1" customFormat="1" x14ac:dyDescent="0.25">
      <c r="A194" s="57"/>
      <c r="B194" s="57"/>
      <c r="C194" s="57"/>
      <c r="D194" s="57"/>
      <c r="E194" s="58"/>
      <c r="F194" s="58"/>
      <c r="G194" s="59"/>
      <c r="H194" s="60"/>
      <c r="I194" s="61"/>
      <c r="J194" s="62"/>
      <c r="K194" s="63"/>
      <c r="L194" s="57"/>
    </row>
    <row r="195" ht="15.75" customHeight="1" spans="1:12" s="1" customFormat="1" x14ac:dyDescent="0.25">
      <c r="A195" s="50"/>
      <c r="B195" s="50"/>
      <c r="C195" s="50"/>
      <c r="D195" s="50"/>
      <c r="E195" s="51"/>
      <c r="F195" s="51"/>
      <c r="G195" s="52"/>
      <c r="H195" s="53"/>
      <c r="I195" s="54"/>
      <c r="J195" s="55"/>
      <c r="K195" s="56"/>
      <c r="L195" s="50"/>
    </row>
    <row r="196" ht="15.75" customHeight="1" spans="1:12" s="1" customFormat="1" x14ac:dyDescent="0.25">
      <c r="A196" s="57"/>
      <c r="B196" s="57"/>
      <c r="C196" s="57"/>
      <c r="D196" s="57"/>
      <c r="E196" s="58"/>
      <c r="F196" s="58"/>
      <c r="G196" s="59"/>
      <c r="H196" s="60"/>
      <c r="I196" s="61"/>
      <c r="J196" s="62"/>
      <c r="K196" s="63"/>
      <c r="L196" s="57"/>
    </row>
    <row r="197" ht="15.75" customHeight="1" spans="1:12" s="1" customFormat="1" x14ac:dyDescent="0.25">
      <c r="A197" s="50"/>
      <c r="B197" s="50"/>
      <c r="C197" s="50"/>
      <c r="D197" s="50"/>
      <c r="E197" s="51"/>
      <c r="F197" s="51"/>
      <c r="G197" s="52"/>
      <c r="H197" s="53"/>
      <c r="I197" s="54"/>
      <c r="J197" s="55"/>
      <c r="K197" s="56"/>
      <c r="L197" s="50"/>
    </row>
    <row r="198" ht="15.75" customHeight="1" spans="1:12" s="1" customFormat="1" x14ac:dyDescent="0.25">
      <c r="A198" s="57"/>
      <c r="B198" s="57"/>
      <c r="C198" s="57"/>
      <c r="D198" s="57"/>
      <c r="E198" s="58"/>
      <c r="F198" s="58"/>
      <c r="G198" s="59"/>
      <c r="H198" s="60"/>
      <c r="I198" s="61"/>
      <c r="J198" s="62"/>
      <c r="K198" s="63"/>
      <c r="L198" s="57"/>
    </row>
    <row r="199" ht="15.75" customHeight="1" spans="1:12" s="1" customFormat="1" x14ac:dyDescent="0.25">
      <c r="A199" s="50"/>
      <c r="B199" s="50"/>
      <c r="C199" s="50"/>
      <c r="D199" s="50"/>
      <c r="E199" s="51"/>
      <c r="F199" s="51"/>
      <c r="G199" s="52"/>
      <c r="H199" s="53"/>
      <c r="I199" s="54"/>
      <c r="J199" s="55"/>
      <c r="K199" s="56"/>
      <c r="L199" s="50"/>
    </row>
    <row r="200" ht="15.75" customHeight="1" spans="1:12" s="1" customFormat="1" x14ac:dyDescent="0.25">
      <c r="A200" s="57"/>
      <c r="B200" s="57"/>
      <c r="C200" s="57"/>
      <c r="D200" s="57"/>
      <c r="E200" s="58"/>
      <c r="F200" s="58"/>
      <c r="G200" s="59"/>
      <c r="H200" s="60"/>
      <c r="I200" s="61"/>
      <c r="J200" s="62"/>
      <c r="K200" s="63"/>
      <c r="L200" s="57"/>
    </row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L1"/>
    <mergeCell ref="A2:L2"/>
    <mergeCell ref="A3:L3"/>
  </mergeCells>
  <conditionalFormatting sqref="K5:K200">
    <cfRule type="cellIs" dxfId="0" priority="1" operator="equal">
      <formula>"OK"</formula>
    </cfRule>
    <cfRule type="cellIs" dxfId="1" priority="2" operator="equal">
      <formula>"REPOR"</formula>
    </cfRule>
    <cfRule type="cellIs" dxfId="2" priority="3" operator="equal">
      <formula>"SEM ESTOQUE"</formula>
    </cfRule>
  </conditionalFormatting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2" style="1" customWidth="1"/>
    <col min="2" max="2" width="11" style="1" customWidth="1"/>
    <col min="3" max="3" width="30" style="1" customWidth="1"/>
    <col min="4" max="4" width="22" style="1" customWidth="1"/>
    <col min="5" max="6" width="12" style="1" customWidth="1"/>
    <col min="7" max="7" width="13" style="1" customWidth="1"/>
    <col min="8" max="8" width="14" style="1" customWidth="1"/>
    <col min="9" max="26" width="8.71" style="1" customWidth="1"/>
  </cols>
  <sheetData>
    <row r="1" ht="27.75" customHeight="1" spans="1:8" s="1" customFormat="1" x14ac:dyDescent="0.25">
      <c r="A1" s="7" t="s">
        <v>0</v>
      </c>
      <c r="B1" s="1"/>
      <c r="C1" s="1"/>
      <c r="D1" s="1"/>
      <c r="E1" s="1"/>
      <c r="F1" s="1"/>
      <c r="G1" s="1"/>
      <c r="H1" s="1"/>
    </row>
    <row r="2" ht="24" customHeight="1" spans="1:8" s="1" customFormat="1" x14ac:dyDescent="0.25">
      <c r="A2" s="8" t="s">
        <v>111</v>
      </c>
      <c r="B2" s="1"/>
      <c r="C2" s="1"/>
      <c r="D2" s="1"/>
      <c r="E2" s="1"/>
      <c r="F2" s="1"/>
      <c r="G2" s="1"/>
      <c r="H2" s="1"/>
    </row>
    <row r="3" ht="18" customHeight="1" spans="1:8" s="1" customFormat="1" x14ac:dyDescent="0.25">
      <c r="A3" s="9" t="s">
        <v>112</v>
      </c>
      <c r="B3" s="1"/>
      <c r="C3" s="1"/>
      <c r="D3" s="1"/>
      <c r="E3" s="1"/>
      <c r="F3" s="1"/>
      <c r="G3" s="1"/>
      <c r="H3" s="1"/>
    </row>
    <row r="4" ht="31.5" customHeight="1" spans="1:8" s="1" customFormat="1" x14ac:dyDescent="0.25">
      <c r="A4" s="22" t="s">
        <v>113</v>
      </c>
      <c r="B4" s="22" t="s">
        <v>93</v>
      </c>
      <c r="C4" s="22" t="s">
        <v>94</v>
      </c>
      <c r="D4" s="22" t="s">
        <v>114</v>
      </c>
      <c r="E4" s="22" t="s">
        <v>115</v>
      </c>
      <c r="F4" s="22" t="s">
        <v>116</v>
      </c>
      <c r="G4" s="22" t="s">
        <v>117</v>
      </c>
      <c r="H4" s="22" t="s">
        <v>118</v>
      </c>
    </row>
    <row r="5" spans="1:8" x14ac:dyDescent="0.25">
      <c r="A5" s="64">
        <v>46156.625</v>
      </c>
      <c r="B5" s="38" t="s">
        <v>104</v>
      </c>
      <c r="C5" s="33" t="s">
        <v>105</v>
      </c>
      <c r="D5" s="38" t="s">
        <v>119</v>
      </c>
      <c r="E5" s="38" t="s">
        <v>120</v>
      </c>
      <c r="F5" s="41">
        <v>100</v>
      </c>
      <c r="G5" s="39">
        <v>11</v>
      </c>
      <c r="H5" s="43"/>
    </row>
    <row r="6" spans="1:8" x14ac:dyDescent="0.25">
      <c r="A6" s="65">
        <v>46156.625</v>
      </c>
      <c r="B6" s="44" t="s">
        <v>108</v>
      </c>
      <c r="C6" s="36" t="s">
        <v>109</v>
      </c>
      <c r="D6" s="44" t="s">
        <v>119</v>
      </c>
      <c r="E6" s="44" t="s">
        <v>121</v>
      </c>
      <c r="F6" s="47">
        <v>200</v>
      </c>
      <c r="G6" s="45">
        <v>30</v>
      </c>
      <c r="H6" s="49"/>
    </row>
    <row r="7" spans="1:8" x14ac:dyDescent="0.25">
      <c r="A7" s="64">
        <v>46156.625</v>
      </c>
      <c r="B7" s="38" t="s">
        <v>108</v>
      </c>
      <c r="C7" s="33" t="s">
        <v>109</v>
      </c>
      <c r="D7" s="38" t="s">
        <v>119</v>
      </c>
      <c r="E7" s="38" t="s">
        <v>122</v>
      </c>
      <c r="F7" s="41">
        <v>500</v>
      </c>
      <c r="G7" s="39">
        <v>30</v>
      </c>
      <c r="H7" s="43"/>
    </row>
    <row r="8" spans="1:8" x14ac:dyDescent="0.25">
      <c r="A8" s="65"/>
      <c r="B8" s="44"/>
      <c r="C8" s="36"/>
      <c r="D8" s="44"/>
      <c r="E8" s="44"/>
      <c r="F8" s="47"/>
      <c r="G8" s="45"/>
      <c r="H8" s="49"/>
    </row>
    <row r="9" spans="1:8" x14ac:dyDescent="0.25">
      <c r="A9" s="64"/>
      <c r="B9" s="38"/>
      <c r="C9" s="33"/>
      <c r="D9" s="38"/>
      <c r="E9" s="38"/>
      <c r="F9" s="41"/>
      <c r="G9" s="39"/>
      <c r="H9" s="43"/>
    </row>
    <row r="10" spans="1:8" x14ac:dyDescent="0.25">
      <c r="A10" s="65"/>
      <c r="B10" s="44"/>
      <c r="C10" s="36"/>
      <c r="D10" s="44"/>
      <c r="E10" s="44"/>
      <c r="F10" s="47"/>
      <c r="G10" s="45"/>
      <c r="H10" s="49"/>
    </row>
    <row r="11" spans="1:8" x14ac:dyDescent="0.25">
      <c r="A11" s="64"/>
      <c r="B11" s="38"/>
      <c r="C11" s="33"/>
      <c r="D11" s="38"/>
      <c r="E11" s="38"/>
      <c r="F11" s="41"/>
      <c r="G11" s="39"/>
      <c r="H11" s="43"/>
    </row>
    <row r="12" spans="1:8" x14ac:dyDescent="0.25">
      <c r="A12" s="66"/>
      <c r="B12" s="57"/>
      <c r="C12" s="63"/>
      <c r="D12" s="57"/>
      <c r="E12" s="57"/>
      <c r="F12" s="60"/>
      <c r="G12" s="58"/>
      <c r="H12" s="62"/>
    </row>
    <row r="13" spans="1:8" x14ac:dyDescent="0.25">
      <c r="A13" s="67"/>
      <c r="B13" s="50"/>
      <c r="C13" s="56"/>
      <c r="D13" s="50"/>
      <c r="E13" s="50"/>
      <c r="F13" s="53"/>
      <c r="G13" s="51"/>
      <c r="H13" s="55"/>
    </row>
    <row r="14" spans="1:8" x14ac:dyDescent="0.25">
      <c r="A14" s="66"/>
      <c r="B14" s="57"/>
      <c r="C14" s="63"/>
      <c r="D14" s="57"/>
      <c r="E14" s="57"/>
      <c r="F14" s="60"/>
      <c r="G14" s="58"/>
      <c r="H14" s="62"/>
    </row>
    <row r="15" spans="1:8" x14ac:dyDescent="0.25">
      <c r="A15" s="67"/>
      <c r="B15" s="50"/>
      <c r="C15" s="56"/>
      <c r="D15" s="50"/>
      <c r="E15" s="50"/>
      <c r="F15" s="53"/>
      <c r="G15" s="51"/>
      <c r="H15" s="55"/>
    </row>
    <row r="16" spans="1:8" x14ac:dyDescent="0.25">
      <c r="A16" s="66"/>
      <c r="B16" s="57"/>
      <c r="C16" s="63"/>
      <c r="D16" s="57"/>
      <c r="E16" s="57"/>
      <c r="F16" s="60"/>
      <c r="G16" s="58"/>
      <c r="H16" s="62"/>
    </row>
    <row r="17" spans="1:8" x14ac:dyDescent="0.25">
      <c r="A17" s="67"/>
      <c r="B17" s="50"/>
      <c r="C17" s="56"/>
      <c r="D17" s="50"/>
      <c r="E17" s="50"/>
      <c r="F17" s="53"/>
      <c r="G17" s="51"/>
      <c r="H17" s="55"/>
    </row>
    <row r="18" spans="1:8" x14ac:dyDescent="0.25">
      <c r="A18" s="66"/>
      <c r="B18" s="57"/>
      <c r="C18" s="63"/>
      <c r="D18" s="57"/>
      <c r="E18" s="57"/>
      <c r="F18" s="60"/>
      <c r="G18" s="58"/>
      <c r="H18" s="62"/>
    </row>
    <row r="19" spans="1:8" x14ac:dyDescent="0.25">
      <c r="A19" s="67"/>
      <c r="B19" s="50"/>
      <c r="C19" s="56"/>
      <c r="D19" s="50"/>
      <c r="E19" s="50"/>
      <c r="F19" s="53"/>
      <c r="G19" s="51"/>
      <c r="H19" s="55"/>
    </row>
    <row r="20" spans="1:8" x14ac:dyDescent="0.25">
      <c r="A20" s="66"/>
      <c r="B20" s="57"/>
      <c r="C20" s="63"/>
      <c r="D20" s="57"/>
      <c r="E20" s="57"/>
      <c r="F20" s="60"/>
      <c r="G20" s="58"/>
      <c r="H20" s="62"/>
    </row>
    <row r="21" ht="15.75" customHeight="1" spans="1:8" s="1" customFormat="1" x14ac:dyDescent="0.25">
      <c r="A21" s="67"/>
      <c r="B21" s="50"/>
      <c r="C21" s="56"/>
      <c r="D21" s="50"/>
      <c r="E21" s="50"/>
      <c r="F21" s="53"/>
      <c r="G21" s="51"/>
      <c r="H21" s="55"/>
    </row>
    <row r="22" ht="15.75" customHeight="1" spans="1:8" s="1" customFormat="1" x14ac:dyDescent="0.25">
      <c r="A22" s="66"/>
      <c r="B22" s="57"/>
      <c r="C22" s="63"/>
      <c r="D22" s="57"/>
      <c r="E22" s="57"/>
      <c r="F22" s="60"/>
      <c r="G22" s="58"/>
      <c r="H22" s="62"/>
    </row>
    <row r="23" ht="15.75" customHeight="1" spans="1:8" s="1" customFormat="1" x14ac:dyDescent="0.25">
      <c r="A23" s="67"/>
      <c r="B23" s="50"/>
      <c r="C23" s="56"/>
      <c r="D23" s="50"/>
      <c r="E23" s="50"/>
      <c r="F23" s="53"/>
      <c r="G23" s="51"/>
      <c r="H23" s="55"/>
    </row>
    <row r="24" ht="15.75" customHeight="1" spans="1:8" s="1" customFormat="1" x14ac:dyDescent="0.25">
      <c r="A24" s="66"/>
      <c r="B24" s="57"/>
      <c r="C24" s="63"/>
      <c r="D24" s="57"/>
      <c r="E24" s="57"/>
      <c r="F24" s="60"/>
      <c r="G24" s="58"/>
      <c r="H24" s="62"/>
    </row>
    <row r="25" ht="15.75" customHeight="1" spans="1:8" s="1" customFormat="1" x14ac:dyDescent="0.25">
      <c r="A25" s="67"/>
      <c r="B25" s="50"/>
      <c r="C25" s="56"/>
      <c r="D25" s="50"/>
      <c r="E25" s="50"/>
      <c r="F25" s="53"/>
      <c r="G25" s="51"/>
      <c r="H25" s="55"/>
    </row>
    <row r="26" ht="15.75" customHeight="1" spans="1:8" s="1" customFormat="1" x14ac:dyDescent="0.25">
      <c r="A26" s="66"/>
      <c r="B26" s="57"/>
      <c r="C26" s="63"/>
      <c r="D26" s="57"/>
      <c r="E26" s="57"/>
      <c r="F26" s="60"/>
      <c r="G26" s="58"/>
      <c r="H26" s="62"/>
    </row>
    <row r="27" ht="15.75" customHeight="1" spans="1:8" s="1" customFormat="1" x14ac:dyDescent="0.25">
      <c r="A27" s="67"/>
      <c r="B27" s="50"/>
      <c r="C27" s="56"/>
      <c r="D27" s="50"/>
      <c r="E27" s="50"/>
      <c r="F27" s="53"/>
      <c r="G27" s="51"/>
      <c r="H27" s="55"/>
    </row>
    <row r="28" ht="15.75" customHeight="1" spans="1:8" s="1" customFormat="1" x14ac:dyDescent="0.25">
      <c r="A28" s="66"/>
      <c r="B28" s="57"/>
      <c r="C28" s="63"/>
      <c r="D28" s="57"/>
      <c r="E28" s="57"/>
      <c r="F28" s="60"/>
      <c r="G28" s="58"/>
      <c r="H28" s="62"/>
    </row>
    <row r="29" ht="15.75" customHeight="1" spans="1:8" s="1" customFormat="1" x14ac:dyDescent="0.25">
      <c r="A29" s="67"/>
      <c r="B29" s="50"/>
      <c r="C29" s="56"/>
      <c r="D29" s="50"/>
      <c r="E29" s="50"/>
      <c r="F29" s="53"/>
      <c r="G29" s="51"/>
      <c r="H29" s="55"/>
    </row>
    <row r="30" ht="15.75" customHeight="1" spans="1:8" s="1" customFormat="1" x14ac:dyDescent="0.25">
      <c r="A30" s="66"/>
      <c r="B30" s="57"/>
      <c r="C30" s="63"/>
      <c r="D30" s="57"/>
      <c r="E30" s="57"/>
      <c r="F30" s="60"/>
      <c r="G30" s="58"/>
      <c r="H30" s="62"/>
    </row>
    <row r="31" ht="15.75" customHeight="1" spans="1:8" s="1" customFormat="1" x14ac:dyDescent="0.25">
      <c r="A31" s="67"/>
      <c r="B31" s="50"/>
      <c r="C31" s="56"/>
      <c r="D31" s="50"/>
      <c r="E31" s="50"/>
      <c r="F31" s="53"/>
      <c r="G31" s="51"/>
      <c r="H31" s="55"/>
    </row>
    <row r="32" ht="15.75" customHeight="1" spans="1:8" s="1" customFormat="1" x14ac:dyDescent="0.25">
      <c r="A32" s="66"/>
      <c r="B32" s="57"/>
      <c r="C32" s="63"/>
      <c r="D32" s="57"/>
      <c r="E32" s="57"/>
      <c r="F32" s="60"/>
      <c r="G32" s="58"/>
      <c r="H32" s="62"/>
    </row>
    <row r="33" ht="15.75" customHeight="1" spans="1:8" s="1" customFormat="1" x14ac:dyDescent="0.25">
      <c r="A33" s="67"/>
      <c r="B33" s="50"/>
      <c r="C33" s="56"/>
      <c r="D33" s="50"/>
      <c r="E33" s="50"/>
      <c r="F33" s="53"/>
      <c r="G33" s="51"/>
      <c r="H33" s="55"/>
    </row>
    <row r="34" ht="15.75" customHeight="1" spans="1:8" s="1" customFormat="1" x14ac:dyDescent="0.25">
      <c r="A34" s="66"/>
      <c r="B34" s="57"/>
      <c r="C34" s="63"/>
      <c r="D34" s="57"/>
      <c r="E34" s="57"/>
      <c r="F34" s="60"/>
      <c r="G34" s="58"/>
      <c r="H34" s="62"/>
    </row>
    <row r="35" ht="15.75" customHeight="1" spans="1:8" s="1" customFormat="1" x14ac:dyDescent="0.25">
      <c r="A35" s="67"/>
      <c r="B35" s="50"/>
      <c r="C35" s="56"/>
      <c r="D35" s="50"/>
      <c r="E35" s="50"/>
      <c r="F35" s="53"/>
      <c r="G35" s="51"/>
      <c r="H35" s="55"/>
    </row>
    <row r="36" ht="15.75" customHeight="1" spans="1:8" s="1" customFormat="1" x14ac:dyDescent="0.25">
      <c r="A36" s="66"/>
      <c r="B36" s="57"/>
      <c r="C36" s="63"/>
      <c r="D36" s="57"/>
      <c r="E36" s="57"/>
      <c r="F36" s="60"/>
      <c r="G36" s="58"/>
      <c r="H36" s="62"/>
    </row>
    <row r="37" ht="15.75" customHeight="1" spans="1:8" s="1" customFormat="1" x14ac:dyDescent="0.25">
      <c r="A37" s="67"/>
      <c r="B37" s="50"/>
      <c r="C37" s="56"/>
      <c r="D37" s="50"/>
      <c r="E37" s="50"/>
      <c r="F37" s="53"/>
      <c r="G37" s="51"/>
      <c r="H37" s="55"/>
    </row>
    <row r="38" ht="15.75" customHeight="1" spans="1:8" s="1" customFormat="1" x14ac:dyDescent="0.25">
      <c r="A38" s="66"/>
      <c r="B38" s="57"/>
      <c r="C38" s="63"/>
      <c r="D38" s="57"/>
      <c r="E38" s="57"/>
      <c r="F38" s="60"/>
      <c r="G38" s="58"/>
      <c r="H38" s="62"/>
    </row>
    <row r="39" ht="15.75" customHeight="1" spans="1:8" s="1" customFormat="1" x14ac:dyDescent="0.25">
      <c r="A39" s="67"/>
      <c r="B39" s="50"/>
      <c r="C39" s="56"/>
      <c r="D39" s="50"/>
      <c r="E39" s="50"/>
      <c r="F39" s="53"/>
      <c r="G39" s="51"/>
      <c r="H39" s="55"/>
    </row>
    <row r="40" ht="15.75" customHeight="1" spans="1:8" s="1" customFormat="1" x14ac:dyDescent="0.25">
      <c r="A40" s="66"/>
      <c r="B40" s="57"/>
      <c r="C40" s="63"/>
      <c r="D40" s="57"/>
      <c r="E40" s="57"/>
      <c r="F40" s="60"/>
      <c r="G40" s="58"/>
      <c r="H40" s="62"/>
    </row>
    <row r="41" ht="15.75" customHeight="1" spans="1:8" s="1" customFormat="1" x14ac:dyDescent="0.25">
      <c r="A41" s="67"/>
      <c r="B41" s="50"/>
      <c r="C41" s="56"/>
      <c r="D41" s="50"/>
      <c r="E41" s="50"/>
      <c r="F41" s="53"/>
      <c r="G41" s="51"/>
      <c r="H41" s="55"/>
    </row>
    <row r="42" ht="15.75" customHeight="1" spans="1:8" s="1" customFormat="1" x14ac:dyDescent="0.25">
      <c r="A42" s="66"/>
      <c r="B42" s="57"/>
      <c r="C42" s="63"/>
      <c r="D42" s="57"/>
      <c r="E42" s="57"/>
      <c r="F42" s="60"/>
      <c r="G42" s="58"/>
      <c r="H42" s="62"/>
    </row>
    <row r="43" ht="15.75" customHeight="1" spans="1:8" s="1" customFormat="1" x14ac:dyDescent="0.25">
      <c r="A43" s="67"/>
      <c r="B43" s="50"/>
      <c r="C43" s="56"/>
      <c r="D43" s="50"/>
      <c r="E43" s="50"/>
      <c r="F43" s="53"/>
      <c r="G43" s="51"/>
      <c r="H43" s="55"/>
    </row>
    <row r="44" ht="15.75" customHeight="1" spans="1:8" s="1" customFormat="1" x14ac:dyDescent="0.25">
      <c r="A44" s="66"/>
      <c r="B44" s="57"/>
      <c r="C44" s="63"/>
      <c r="D44" s="57"/>
      <c r="E44" s="57"/>
      <c r="F44" s="60"/>
      <c r="G44" s="58"/>
      <c r="H44" s="62"/>
    </row>
    <row r="45" ht="15.75" customHeight="1" spans="1:8" s="1" customFormat="1" x14ac:dyDescent="0.25">
      <c r="A45" s="67"/>
      <c r="B45" s="50"/>
      <c r="C45" s="56"/>
      <c r="D45" s="50"/>
      <c r="E45" s="50"/>
      <c r="F45" s="53"/>
      <c r="G45" s="51"/>
      <c r="H45" s="55"/>
    </row>
    <row r="46" ht="15.75" customHeight="1" spans="1:8" s="1" customFormat="1" x14ac:dyDescent="0.25">
      <c r="A46" s="66"/>
      <c r="B46" s="57"/>
      <c r="C46" s="63"/>
      <c r="D46" s="57"/>
      <c r="E46" s="57"/>
      <c r="F46" s="60"/>
      <c r="G46" s="58"/>
      <c r="H46" s="62"/>
    </row>
    <row r="47" ht="15.75" customHeight="1" spans="1:8" s="1" customFormat="1" x14ac:dyDescent="0.25">
      <c r="A47" s="67"/>
      <c r="B47" s="50"/>
      <c r="C47" s="56"/>
      <c r="D47" s="50"/>
      <c r="E47" s="50"/>
      <c r="F47" s="53"/>
      <c r="G47" s="51"/>
      <c r="H47" s="55"/>
    </row>
    <row r="48" ht="15.75" customHeight="1" spans="1:8" s="1" customFormat="1" x14ac:dyDescent="0.25">
      <c r="A48" s="66"/>
      <c r="B48" s="57"/>
      <c r="C48" s="63"/>
      <c r="D48" s="57"/>
      <c r="E48" s="57"/>
      <c r="F48" s="60"/>
      <c r="G48" s="58"/>
      <c r="H48" s="62"/>
    </row>
    <row r="49" ht="15.75" customHeight="1" spans="1:8" s="1" customFormat="1" x14ac:dyDescent="0.25">
      <c r="A49" s="67"/>
      <c r="B49" s="50"/>
      <c r="C49" s="56"/>
      <c r="D49" s="50"/>
      <c r="E49" s="50"/>
      <c r="F49" s="53"/>
      <c r="G49" s="51"/>
      <c r="H49" s="55"/>
    </row>
    <row r="50" ht="15.75" customHeight="1" spans="1:8" s="1" customFormat="1" x14ac:dyDescent="0.25">
      <c r="A50" s="66"/>
      <c r="B50" s="57"/>
      <c r="C50" s="63"/>
      <c r="D50" s="57"/>
      <c r="E50" s="57"/>
      <c r="F50" s="60"/>
      <c r="G50" s="58"/>
      <c r="H50" s="62"/>
    </row>
    <row r="51" ht="15.75" customHeight="1" spans="1:8" s="1" customFormat="1" x14ac:dyDescent="0.25">
      <c r="A51" s="67"/>
      <c r="B51" s="50"/>
      <c r="C51" s="56"/>
      <c r="D51" s="50"/>
      <c r="E51" s="50"/>
      <c r="F51" s="53"/>
      <c r="G51" s="51"/>
      <c r="H51" s="55"/>
    </row>
    <row r="52" ht="15.75" customHeight="1" spans="1:8" s="1" customFormat="1" x14ac:dyDescent="0.25">
      <c r="A52" s="66"/>
      <c r="B52" s="57"/>
      <c r="C52" s="63"/>
      <c r="D52" s="57"/>
      <c r="E52" s="57"/>
      <c r="F52" s="60"/>
      <c r="G52" s="58"/>
      <c r="H52" s="62"/>
    </row>
    <row r="53" ht="15.75" customHeight="1" spans="1:8" s="1" customFormat="1" x14ac:dyDescent="0.25">
      <c r="A53" s="67"/>
      <c r="B53" s="50"/>
      <c r="C53" s="56"/>
      <c r="D53" s="50"/>
      <c r="E53" s="50"/>
      <c r="F53" s="53"/>
      <c r="G53" s="51"/>
      <c r="H53" s="55"/>
    </row>
    <row r="54" ht="15.75" customHeight="1" spans="1:8" s="1" customFormat="1" x14ac:dyDescent="0.25">
      <c r="A54" s="66"/>
      <c r="B54" s="57"/>
      <c r="C54" s="63"/>
      <c r="D54" s="57"/>
      <c r="E54" s="57"/>
      <c r="F54" s="60"/>
      <c r="G54" s="58"/>
      <c r="H54" s="62"/>
    </row>
    <row r="55" ht="15.75" customHeight="1" spans="1:8" s="1" customFormat="1" x14ac:dyDescent="0.25">
      <c r="A55" s="67"/>
      <c r="B55" s="50"/>
      <c r="C55" s="56"/>
      <c r="D55" s="50"/>
      <c r="E55" s="50"/>
      <c r="F55" s="53"/>
      <c r="G55" s="51"/>
      <c r="H55" s="55"/>
    </row>
    <row r="56" ht="15.75" customHeight="1" spans="1:8" s="1" customFormat="1" x14ac:dyDescent="0.25">
      <c r="A56" s="66"/>
      <c r="B56" s="57"/>
      <c r="C56" s="63"/>
      <c r="D56" s="57"/>
      <c r="E56" s="57"/>
      <c r="F56" s="60"/>
      <c r="G56" s="58"/>
      <c r="H56" s="62"/>
    </row>
    <row r="57" ht="15.75" customHeight="1" spans="1:8" s="1" customFormat="1" x14ac:dyDescent="0.25">
      <c r="A57" s="67"/>
      <c r="B57" s="50"/>
      <c r="C57" s="56"/>
      <c r="D57" s="50"/>
      <c r="E57" s="50"/>
      <c r="F57" s="53"/>
      <c r="G57" s="51"/>
      <c r="H57" s="55"/>
    </row>
    <row r="58" ht="15.75" customHeight="1" spans="1:8" s="1" customFormat="1" x14ac:dyDescent="0.25">
      <c r="A58" s="66"/>
      <c r="B58" s="57"/>
      <c r="C58" s="63"/>
      <c r="D58" s="57"/>
      <c r="E58" s="57"/>
      <c r="F58" s="60"/>
      <c r="G58" s="58"/>
      <c r="H58" s="62"/>
    </row>
    <row r="59" ht="15.75" customHeight="1" spans="1:8" s="1" customFormat="1" x14ac:dyDescent="0.25">
      <c r="A59" s="67"/>
      <c r="B59" s="50"/>
      <c r="C59" s="56"/>
      <c r="D59" s="50"/>
      <c r="E59" s="50"/>
      <c r="F59" s="53"/>
      <c r="G59" s="51"/>
      <c r="H59" s="55"/>
    </row>
    <row r="60" ht="15.75" customHeight="1" spans="1:8" s="1" customFormat="1" x14ac:dyDescent="0.25">
      <c r="A60" s="66"/>
      <c r="B60" s="57"/>
      <c r="C60" s="63"/>
      <c r="D60" s="57"/>
      <c r="E60" s="57"/>
      <c r="F60" s="60"/>
      <c r="G60" s="58"/>
      <c r="H60" s="62"/>
    </row>
    <row r="61" ht="15.75" customHeight="1" spans="1:8" s="1" customFormat="1" x14ac:dyDescent="0.25">
      <c r="A61" s="67"/>
      <c r="B61" s="50"/>
      <c r="C61" s="56"/>
      <c r="D61" s="50"/>
      <c r="E61" s="50"/>
      <c r="F61" s="53"/>
      <c r="G61" s="51"/>
      <c r="H61" s="55"/>
    </row>
    <row r="62" ht="15.75" customHeight="1" spans="1:8" s="1" customFormat="1" x14ac:dyDescent="0.25">
      <c r="A62" s="66"/>
      <c r="B62" s="57"/>
      <c r="C62" s="63"/>
      <c r="D62" s="57"/>
      <c r="E62" s="57"/>
      <c r="F62" s="60"/>
      <c r="G62" s="58"/>
      <c r="H62" s="62"/>
    </row>
    <row r="63" ht="15.75" customHeight="1" spans="1:8" s="1" customFormat="1" x14ac:dyDescent="0.25">
      <c r="A63" s="67"/>
      <c r="B63" s="50"/>
      <c r="C63" s="56"/>
      <c r="D63" s="50"/>
      <c r="E63" s="50"/>
      <c r="F63" s="53"/>
      <c r="G63" s="51"/>
      <c r="H63" s="55"/>
    </row>
    <row r="64" ht="15.75" customHeight="1" spans="1:8" s="1" customFormat="1" x14ac:dyDescent="0.25">
      <c r="A64" s="66"/>
      <c r="B64" s="57"/>
      <c r="C64" s="63"/>
      <c r="D64" s="57"/>
      <c r="E64" s="57"/>
      <c r="F64" s="60"/>
      <c r="G64" s="58"/>
      <c r="H64" s="62"/>
    </row>
    <row r="65" ht="15.75" customHeight="1" spans="1:8" s="1" customFormat="1" x14ac:dyDescent="0.25">
      <c r="A65" s="67"/>
      <c r="B65" s="50"/>
      <c r="C65" s="56"/>
      <c r="D65" s="50"/>
      <c r="E65" s="50"/>
      <c r="F65" s="53"/>
      <c r="G65" s="51"/>
      <c r="H65" s="55"/>
    </row>
    <row r="66" ht="15.75" customHeight="1" spans="1:8" s="1" customFormat="1" x14ac:dyDescent="0.25">
      <c r="A66" s="66"/>
      <c r="B66" s="57"/>
      <c r="C66" s="63"/>
      <c r="D66" s="57"/>
      <c r="E66" s="57"/>
      <c r="F66" s="60"/>
      <c r="G66" s="58"/>
      <c r="H66" s="62"/>
    </row>
    <row r="67" ht="15.75" customHeight="1" spans="1:8" s="1" customFormat="1" x14ac:dyDescent="0.25">
      <c r="A67" s="67"/>
      <c r="B67" s="50"/>
      <c r="C67" s="56"/>
      <c r="D67" s="50"/>
      <c r="E67" s="50"/>
      <c r="F67" s="53"/>
      <c r="G67" s="51"/>
      <c r="H67" s="55"/>
    </row>
    <row r="68" ht="15.75" customHeight="1" spans="1:8" s="1" customFormat="1" x14ac:dyDescent="0.25">
      <c r="A68" s="66"/>
      <c r="B68" s="57"/>
      <c r="C68" s="63"/>
      <c r="D68" s="57"/>
      <c r="E68" s="57"/>
      <c r="F68" s="60"/>
      <c r="G68" s="58"/>
      <c r="H68" s="62"/>
    </row>
    <row r="69" ht="15.75" customHeight="1" spans="1:8" s="1" customFormat="1" x14ac:dyDescent="0.25">
      <c r="A69" s="67"/>
      <c r="B69" s="50"/>
      <c r="C69" s="56"/>
      <c r="D69" s="50"/>
      <c r="E69" s="50"/>
      <c r="F69" s="53"/>
      <c r="G69" s="51"/>
      <c r="H69" s="55"/>
    </row>
    <row r="70" ht="15.75" customHeight="1" spans="1:8" s="1" customFormat="1" x14ac:dyDescent="0.25">
      <c r="A70" s="66"/>
      <c r="B70" s="57"/>
      <c r="C70" s="63"/>
      <c r="D70" s="57"/>
      <c r="E70" s="57"/>
      <c r="F70" s="60"/>
      <c r="G70" s="58"/>
      <c r="H70" s="62"/>
    </row>
    <row r="71" ht="15.75" customHeight="1" spans="1:8" s="1" customFormat="1" x14ac:dyDescent="0.25">
      <c r="A71" s="67"/>
      <c r="B71" s="50"/>
      <c r="C71" s="56"/>
      <c r="D71" s="50"/>
      <c r="E71" s="50"/>
      <c r="F71" s="53"/>
      <c r="G71" s="51"/>
      <c r="H71" s="55"/>
    </row>
    <row r="72" ht="15.75" customHeight="1" spans="1:8" s="1" customFormat="1" x14ac:dyDescent="0.25">
      <c r="A72" s="66"/>
      <c r="B72" s="57"/>
      <c r="C72" s="63"/>
      <c r="D72" s="57"/>
      <c r="E72" s="57"/>
      <c r="F72" s="60"/>
      <c r="G72" s="58"/>
      <c r="H72" s="62"/>
    </row>
    <row r="73" ht="15.75" customHeight="1" spans="1:8" s="1" customFormat="1" x14ac:dyDescent="0.25">
      <c r="A73" s="67"/>
      <c r="B73" s="50"/>
      <c r="C73" s="56"/>
      <c r="D73" s="50"/>
      <c r="E73" s="50"/>
      <c r="F73" s="53"/>
      <c r="G73" s="51"/>
      <c r="H73" s="55"/>
    </row>
    <row r="74" ht="15.75" customHeight="1" spans="1:8" s="1" customFormat="1" x14ac:dyDescent="0.25">
      <c r="A74" s="66"/>
      <c r="B74" s="57"/>
      <c r="C74" s="63"/>
      <c r="D74" s="57"/>
      <c r="E74" s="57"/>
      <c r="F74" s="60"/>
      <c r="G74" s="58"/>
      <c r="H74" s="62"/>
    </row>
    <row r="75" ht="15.75" customHeight="1" spans="1:8" s="1" customFormat="1" x14ac:dyDescent="0.25">
      <c r="A75" s="67"/>
      <c r="B75" s="50"/>
      <c r="C75" s="56"/>
      <c r="D75" s="50"/>
      <c r="E75" s="50"/>
      <c r="F75" s="53"/>
      <c r="G75" s="51"/>
      <c r="H75" s="55"/>
    </row>
    <row r="76" ht="15.75" customHeight="1" spans="1:8" s="1" customFormat="1" x14ac:dyDescent="0.25">
      <c r="A76" s="66"/>
      <c r="B76" s="57"/>
      <c r="C76" s="63"/>
      <c r="D76" s="57"/>
      <c r="E76" s="57"/>
      <c r="F76" s="60"/>
      <c r="G76" s="58"/>
      <c r="H76" s="62"/>
    </row>
    <row r="77" ht="15.75" customHeight="1" spans="1:8" s="1" customFormat="1" x14ac:dyDescent="0.25">
      <c r="A77" s="67"/>
      <c r="B77" s="50"/>
      <c r="C77" s="56"/>
      <c r="D77" s="50"/>
      <c r="E77" s="50"/>
      <c r="F77" s="53"/>
      <c r="G77" s="51"/>
      <c r="H77" s="55"/>
    </row>
    <row r="78" ht="15.75" customHeight="1" spans="1:8" s="1" customFormat="1" x14ac:dyDescent="0.25">
      <c r="A78" s="66"/>
      <c r="B78" s="57"/>
      <c r="C78" s="63"/>
      <c r="D78" s="57"/>
      <c r="E78" s="57"/>
      <c r="F78" s="60"/>
      <c r="G78" s="58"/>
      <c r="H78" s="62"/>
    </row>
    <row r="79" ht="15.75" customHeight="1" spans="1:8" s="1" customFormat="1" x14ac:dyDescent="0.25">
      <c r="A79" s="67"/>
      <c r="B79" s="50"/>
      <c r="C79" s="56"/>
      <c r="D79" s="50"/>
      <c r="E79" s="50"/>
      <c r="F79" s="53"/>
      <c r="G79" s="51"/>
      <c r="H79" s="55"/>
    </row>
    <row r="80" ht="15.75" customHeight="1" spans="1:8" s="1" customFormat="1" x14ac:dyDescent="0.25">
      <c r="A80" s="66"/>
      <c r="B80" s="57"/>
      <c r="C80" s="63"/>
      <c r="D80" s="57"/>
      <c r="E80" s="57"/>
      <c r="F80" s="60"/>
      <c r="G80" s="58"/>
      <c r="H80" s="62"/>
    </row>
    <row r="81" ht="15.75" customHeight="1" spans="1:8" s="1" customFormat="1" x14ac:dyDescent="0.25">
      <c r="A81" s="67"/>
      <c r="B81" s="50"/>
      <c r="C81" s="56"/>
      <c r="D81" s="50"/>
      <c r="E81" s="50"/>
      <c r="F81" s="53"/>
      <c r="G81" s="51"/>
      <c r="H81" s="55"/>
    </row>
    <row r="82" ht="15.75" customHeight="1" spans="1:8" s="1" customFormat="1" x14ac:dyDescent="0.25">
      <c r="A82" s="66"/>
      <c r="B82" s="57"/>
      <c r="C82" s="63"/>
      <c r="D82" s="57"/>
      <c r="E82" s="57"/>
      <c r="F82" s="60"/>
      <c r="G82" s="58"/>
      <c r="H82" s="62"/>
    </row>
    <row r="83" ht="15.75" customHeight="1" spans="1:8" s="1" customFormat="1" x14ac:dyDescent="0.25">
      <c r="A83" s="67"/>
      <c r="B83" s="50"/>
      <c r="C83" s="56"/>
      <c r="D83" s="50"/>
      <c r="E83" s="50"/>
      <c r="F83" s="53"/>
      <c r="G83" s="51"/>
      <c r="H83" s="55"/>
    </row>
    <row r="84" ht="15.75" customHeight="1" spans="1:8" s="1" customFormat="1" x14ac:dyDescent="0.25">
      <c r="A84" s="66"/>
      <c r="B84" s="57"/>
      <c r="C84" s="63"/>
      <c r="D84" s="57"/>
      <c r="E84" s="57"/>
      <c r="F84" s="60"/>
      <c r="G84" s="58"/>
      <c r="H84" s="62"/>
    </row>
    <row r="85" ht="15.75" customHeight="1" spans="1:8" s="1" customFormat="1" x14ac:dyDescent="0.25">
      <c r="A85" s="67"/>
      <c r="B85" s="50"/>
      <c r="C85" s="56"/>
      <c r="D85" s="50"/>
      <c r="E85" s="50"/>
      <c r="F85" s="53"/>
      <c r="G85" s="51"/>
      <c r="H85" s="55"/>
    </row>
    <row r="86" ht="15.75" customHeight="1" spans="1:8" s="1" customFormat="1" x14ac:dyDescent="0.25">
      <c r="A86" s="66"/>
      <c r="B86" s="57"/>
      <c r="C86" s="63"/>
      <c r="D86" s="57"/>
      <c r="E86" s="57"/>
      <c r="F86" s="60"/>
      <c r="G86" s="58"/>
      <c r="H86" s="62"/>
    </row>
    <row r="87" ht="15.75" customHeight="1" spans="1:8" s="1" customFormat="1" x14ac:dyDescent="0.25">
      <c r="A87" s="67"/>
      <c r="B87" s="50"/>
      <c r="C87" s="56"/>
      <c r="D87" s="50"/>
      <c r="E87" s="50"/>
      <c r="F87" s="53"/>
      <c r="G87" s="51"/>
      <c r="H87" s="55"/>
    </row>
    <row r="88" ht="15.75" customHeight="1" spans="1:8" s="1" customFormat="1" x14ac:dyDescent="0.25">
      <c r="A88" s="66"/>
      <c r="B88" s="57"/>
      <c r="C88" s="63"/>
      <c r="D88" s="57"/>
      <c r="E88" s="57"/>
      <c r="F88" s="60"/>
      <c r="G88" s="58"/>
      <c r="H88" s="62"/>
    </row>
    <row r="89" ht="15.75" customHeight="1" spans="1:8" s="1" customFormat="1" x14ac:dyDescent="0.25">
      <c r="A89" s="67"/>
      <c r="B89" s="50"/>
      <c r="C89" s="56"/>
      <c r="D89" s="50"/>
      <c r="E89" s="50"/>
      <c r="F89" s="53"/>
      <c r="G89" s="51"/>
      <c r="H89" s="55"/>
    </row>
    <row r="90" ht="15.75" customHeight="1" spans="1:8" s="1" customFormat="1" x14ac:dyDescent="0.25">
      <c r="A90" s="66"/>
      <c r="B90" s="57"/>
      <c r="C90" s="63"/>
      <c r="D90" s="57"/>
      <c r="E90" s="57"/>
      <c r="F90" s="60"/>
      <c r="G90" s="58"/>
      <c r="H90" s="62"/>
    </row>
    <row r="91" ht="15.75" customHeight="1" spans="1:8" s="1" customFormat="1" x14ac:dyDescent="0.25">
      <c r="A91" s="67"/>
      <c r="B91" s="50"/>
      <c r="C91" s="56"/>
      <c r="D91" s="50"/>
      <c r="E91" s="50"/>
      <c r="F91" s="53"/>
      <c r="G91" s="51"/>
      <c r="H91" s="55"/>
    </row>
    <row r="92" ht="15.75" customHeight="1" spans="1:8" s="1" customFormat="1" x14ac:dyDescent="0.25">
      <c r="A92" s="66"/>
      <c r="B92" s="57"/>
      <c r="C92" s="63"/>
      <c r="D92" s="57"/>
      <c r="E92" s="57"/>
      <c r="F92" s="60"/>
      <c r="G92" s="58"/>
      <c r="H92" s="62"/>
    </row>
    <row r="93" ht="15.75" customHeight="1" spans="1:8" s="1" customFormat="1" x14ac:dyDescent="0.25">
      <c r="A93" s="67"/>
      <c r="B93" s="50"/>
      <c r="C93" s="56"/>
      <c r="D93" s="50"/>
      <c r="E93" s="50"/>
      <c r="F93" s="53"/>
      <c r="G93" s="51"/>
      <c r="H93" s="55"/>
    </row>
    <row r="94" ht="15.75" customHeight="1" spans="1:8" s="1" customFormat="1" x14ac:dyDescent="0.25">
      <c r="A94" s="66"/>
      <c r="B94" s="57"/>
      <c r="C94" s="63"/>
      <c r="D94" s="57"/>
      <c r="E94" s="57"/>
      <c r="F94" s="60"/>
      <c r="G94" s="58"/>
      <c r="H94" s="62"/>
    </row>
    <row r="95" ht="15.75" customHeight="1" spans="1:8" s="1" customFormat="1" x14ac:dyDescent="0.25">
      <c r="A95" s="67"/>
      <c r="B95" s="50"/>
      <c r="C95" s="56"/>
      <c r="D95" s="50"/>
      <c r="E95" s="50"/>
      <c r="F95" s="53"/>
      <c r="G95" s="51"/>
      <c r="H95" s="55"/>
    </row>
    <row r="96" ht="15.75" customHeight="1" spans="1:8" s="1" customFormat="1" x14ac:dyDescent="0.25">
      <c r="A96" s="66"/>
      <c r="B96" s="57"/>
      <c r="C96" s="63"/>
      <c r="D96" s="57"/>
      <c r="E96" s="57"/>
      <c r="F96" s="60"/>
      <c r="G96" s="58"/>
      <c r="H96" s="62"/>
    </row>
    <row r="97" ht="15.75" customHeight="1" spans="1:8" s="1" customFormat="1" x14ac:dyDescent="0.25">
      <c r="A97" s="67"/>
      <c r="B97" s="50"/>
      <c r="C97" s="56"/>
      <c r="D97" s="50"/>
      <c r="E97" s="50"/>
      <c r="F97" s="53"/>
      <c r="G97" s="51"/>
      <c r="H97" s="55"/>
    </row>
    <row r="98" ht="15.75" customHeight="1" spans="1:8" s="1" customFormat="1" x14ac:dyDescent="0.25">
      <c r="A98" s="66"/>
      <c r="B98" s="57"/>
      <c r="C98" s="63"/>
      <c r="D98" s="57"/>
      <c r="E98" s="57"/>
      <c r="F98" s="60"/>
      <c r="G98" s="58"/>
      <c r="H98" s="62"/>
    </row>
    <row r="99" ht="15.75" customHeight="1" spans="1:8" s="1" customFormat="1" x14ac:dyDescent="0.25">
      <c r="A99" s="67"/>
      <c r="B99" s="50"/>
      <c r="C99" s="56"/>
      <c r="D99" s="50"/>
      <c r="E99" s="50"/>
      <c r="F99" s="53"/>
      <c r="G99" s="51"/>
      <c r="H99" s="55"/>
    </row>
    <row r="100" ht="15.75" customHeight="1" spans="1:8" s="1" customFormat="1" x14ac:dyDescent="0.25">
      <c r="A100" s="66"/>
      <c r="B100" s="57"/>
      <c r="C100" s="63"/>
      <c r="D100" s="57"/>
      <c r="E100" s="57"/>
      <c r="F100" s="60"/>
      <c r="G100" s="58"/>
      <c r="H100" s="62"/>
    </row>
    <row r="101" ht="15.75" customHeight="1" spans="1:8" s="1" customFormat="1" x14ac:dyDescent="0.25">
      <c r="A101" s="67"/>
      <c r="B101" s="50"/>
      <c r="C101" s="56"/>
      <c r="D101" s="50"/>
      <c r="E101" s="50"/>
      <c r="F101" s="53"/>
      <c r="G101" s="51"/>
      <c r="H101" s="55"/>
    </row>
    <row r="102" ht="15.75" customHeight="1" spans="1:8" s="1" customFormat="1" x14ac:dyDescent="0.25">
      <c r="A102" s="66"/>
      <c r="B102" s="57"/>
      <c r="C102" s="63"/>
      <c r="D102" s="57"/>
      <c r="E102" s="57"/>
      <c r="F102" s="60"/>
      <c r="G102" s="58"/>
      <c r="H102" s="62"/>
    </row>
    <row r="103" ht="15.75" customHeight="1" spans="1:8" s="1" customFormat="1" x14ac:dyDescent="0.25">
      <c r="A103" s="67"/>
      <c r="B103" s="50"/>
      <c r="C103" s="56"/>
      <c r="D103" s="50"/>
      <c r="E103" s="50"/>
      <c r="F103" s="53"/>
      <c r="G103" s="51"/>
      <c r="H103" s="55"/>
    </row>
    <row r="104" ht="15.75" customHeight="1" spans="1:8" s="1" customFormat="1" x14ac:dyDescent="0.25">
      <c r="A104" s="66"/>
      <c r="B104" s="57"/>
      <c r="C104" s="63"/>
      <c r="D104" s="57"/>
      <c r="E104" s="57"/>
      <c r="F104" s="60"/>
      <c r="G104" s="58"/>
      <c r="H104" s="62"/>
    </row>
    <row r="105" ht="15.75" customHeight="1" spans="1:8" s="1" customFormat="1" x14ac:dyDescent="0.25">
      <c r="A105" s="67"/>
      <c r="B105" s="50"/>
      <c r="C105" s="56"/>
      <c r="D105" s="50"/>
      <c r="E105" s="50"/>
      <c r="F105" s="53"/>
      <c r="G105" s="51"/>
      <c r="H105" s="55"/>
    </row>
    <row r="106" ht="15.75" customHeight="1" spans="1:8" s="1" customFormat="1" x14ac:dyDescent="0.25">
      <c r="A106" s="66"/>
      <c r="B106" s="57"/>
      <c r="C106" s="63"/>
      <c r="D106" s="57"/>
      <c r="E106" s="57"/>
      <c r="F106" s="60"/>
      <c r="G106" s="58"/>
      <c r="H106" s="62"/>
    </row>
    <row r="107" ht="15.75" customHeight="1" spans="1:8" s="1" customFormat="1" x14ac:dyDescent="0.25">
      <c r="A107" s="67"/>
      <c r="B107" s="50"/>
      <c r="C107" s="56"/>
      <c r="D107" s="50"/>
      <c r="E107" s="50"/>
      <c r="F107" s="53"/>
      <c r="G107" s="51"/>
      <c r="H107" s="55"/>
    </row>
    <row r="108" ht="15.75" customHeight="1" spans="1:8" s="1" customFormat="1" x14ac:dyDescent="0.25">
      <c r="A108" s="66"/>
      <c r="B108" s="57"/>
      <c r="C108" s="63"/>
      <c r="D108" s="57"/>
      <c r="E108" s="57"/>
      <c r="F108" s="60"/>
      <c r="G108" s="58"/>
      <c r="H108" s="62"/>
    </row>
    <row r="109" ht="15.75" customHeight="1" spans="1:8" s="1" customFormat="1" x14ac:dyDescent="0.25">
      <c r="A109" s="67"/>
      <c r="B109" s="50"/>
      <c r="C109" s="56"/>
      <c r="D109" s="50"/>
      <c r="E109" s="50"/>
      <c r="F109" s="53"/>
      <c r="G109" s="51"/>
      <c r="H109" s="55"/>
    </row>
    <row r="110" ht="15.75" customHeight="1" spans="1:8" s="1" customFormat="1" x14ac:dyDescent="0.25">
      <c r="A110" s="66"/>
      <c r="B110" s="57"/>
      <c r="C110" s="63"/>
      <c r="D110" s="57"/>
      <c r="E110" s="57"/>
      <c r="F110" s="60"/>
      <c r="G110" s="58"/>
      <c r="H110" s="62"/>
    </row>
    <row r="111" ht="15.75" customHeight="1" spans="1:8" s="1" customFormat="1" x14ac:dyDescent="0.25">
      <c r="A111" s="67"/>
      <c r="B111" s="50"/>
      <c r="C111" s="56"/>
      <c r="D111" s="50"/>
      <c r="E111" s="50"/>
      <c r="F111" s="53"/>
      <c r="G111" s="51"/>
      <c r="H111" s="55"/>
    </row>
    <row r="112" ht="15.75" customHeight="1" spans="1:8" s="1" customFormat="1" x14ac:dyDescent="0.25">
      <c r="A112" s="66"/>
      <c r="B112" s="57"/>
      <c r="C112" s="63"/>
      <c r="D112" s="57"/>
      <c r="E112" s="57"/>
      <c r="F112" s="60"/>
      <c r="G112" s="58"/>
      <c r="H112" s="62"/>
    </row>
    <row r="113" ht="15.75" customHeight="1" spans="1:8" s="1" customFormat="1" x14ac:dyDescent="0.25">
      <c r="A113" s="67"/>
      <c r="B113" s="50"/>
      <c r="C113" s="56"/>
      <c r="D113" s="50"/>
      <c r="E113" s="50"/>
      <c r="F113" s="53"/>
      <c r="G113" s="51"/>
      <c r="H113" s="55"/>
    </row>
    <row r="114" ht="15.75" customHeight="1" spans="1:8" s="1" customFormat="1" x14ac:dyDescent="0.25">
      <c r="A114" s="66"/>
      <c r="B114" s="57"/>
      <c r="C114" s="63"/>
      <c r="D114" s="57"/>
      <c r="E114" s="57"/>
      <c r="F114" s="60"/>
      <c r="G114" s="58"/>
      <c r="H114" s="62"/>
    </row>
    <row r="115" ht="15.75" customHeight="1" spans="1:8" s="1" customFormat="1" x14ac:dyDescent="0.25">
      <c r="A115" s="67"/>
      <c r="B115" s="50"/>
      <c r="C115" s="56"/>
      <c r="D115" s="50"/>
      <c r="E115" s="50"/>
      <c r="F115" s="53"/>
      <c r="G115" s="51"/>
      <c r="H115" s="55"/>
    </row>
    <row r="116" ht="15.75" customHeight="1" spans="1:8" s="1" customFormat="1" x14ac:dyDescent="0.25">
      <c r="A116" s="66"/>
      <c r="B116" s="57"/>
      <c r="C116" s="63"/>
      <c r="D116" s="57"/>
      <c r="E116" s="57"/>
      <c r="F116" s="60"/>
      <c r="G116" s="58"/>
      <c r="H116" s="62"/>
    </row>
    <row r="117" ht="15.75" customHeight="1" spans="1:8" s="1" customFormat="1" x14ac:dyDescent="0.25">
      <c r="A117" s="67"/>
      <c r="B117" s="50"/>
      <c r="C117" s="56"/>
      <c r="D117" s="50"/>
      <c r="E117" s="50"/>
      <c r="F117" s="53"/>
      <c r="G117" s="51"/>
      <c r="H117" s="55"/>
    </row>
    <row r="118" ht="15.75" customHeight="1" spans="1:8" s="1" customFormat="1" x14ac:dyDescent="0.25">
      <c r="A118" s="66"/>
      <c r="B118" s="57"/>
      <c r="C118" s="63"/>
      <c r="D118" s="57"/>
      <c r="E118" s="57"/>
      <c r="F118" s="60"/>
      <c r="G118" s="58"/>
      <c r="H118" s="62"/>
    </row>
    <row r="119" ht="15.75" customHeight="1" spans="1:8" s="1" customFormat="1" x14ac:dyDescent="0.25">
      <c r="A119" s="67"/>
      <c r="B119" s="50"/>
      <c r="C119" s="56"/>
      <c r="D119" s="50"/>
      <c r="E119" s="50"/>
      <c r="F119" s="53"/>
      <c r="G119" s="51"/>
      <c r="H119" s="55"/>
    </row>
    <row r="120" ht="15.75" customHeight="1" spans="1:8" s="1" customFormat="1" x14ac:dyDescent="0.25">
      <c r="A120" s="66"/>
      <c r="B120" s="57"/>
      <c r="C120" s="63"/>
      <c r="D120" s="57"/>
      <c r="E120" s="57"/>
      <c r="F120" s="60"/>
      <c r="G120" s="58"/>
      <c r="H120" s="62"/>
    </row>
    <row r="121" ht="15.75" customHeight="1" spans="1:8" s="1" customFormat="1" x14ac:dyDescent="0.25">
      <c r="A121" s="67"/>
      <c r="B121" s="50"/>
      <c r="C121" s="56"/>
      <c r="D121" s="50"/>
      <c r="E121" s="50"/>
      <c r="F121" s="53"/>
      <c r="G121" s="51"/>
      <c r="H121" s="55"/>
    </row>
    <row r="122" ht="15.75" customHeight="1" spans="1:8" s="1" customFormat="1" x14ac:dyDescent="0.25">
      <c r="A122" s="66"/>
      <c r="B122" s="57"/>
      <c r="C122" s="63"/>
      <c r="D122" s="57"/>
      <c r="E122" s="57"/>
      <c r="F122" s="60"/>
      <c r="G122" s="58"/>
      <c r="H122" s="62"/>
    </row>
    <row r="123" ht="15.75" customHeight="1" spans="1:8" s="1" customFormat="1" x14ac:dyDescent="0.25">
      <c r="A123" s="67"/>
      <c r="B123" s="50"/>
      <c r="C123" s="56"/>
      <c r="D123" s="50"/>
      <c r="E123" s="50"/>
      <c r="F123" s="53"/>
      <c r="G123" s="51"/>
      <c r="H123" s="55"/>
    </row>
    <row r="124" ht="15.75" customHeight="1" spans="1:8" s="1" customFormat="1" x14ac:dyDescent="0.25">
      <c r="A124" s="66"/>
      <c r="B124" s="57"/>
      <c r="C124" s="63"/>
      <c r="D124" s="57"/>
      <c r="E124" s="57"/>
      <c r="F124" s="60"/>
      <c r="G124" s="58"/>
      <c r="H124" s="62"/>
    </row>
    <row r="125" ht="15.75" customHeight="1" spans="1:8" s="1" customFormat="1" x14ac:dyDescent="0.25">
      <c r="A125" s="67"/>
      <c r="B125" s="50"/>
      <c r="C125" s="56"/>
      <c r="D125" s="50"/>
      <c r="E125" s="50"/>
      <c r="F125" s="53"/>
      <c r="G125" s="51"/>
      <c r="H125" s="55"/>
    </row>
    <row r="126" ht="15.75" customHeight="1" spans="1:8" s="1" customFormat="1" x14ac:dyDescent="0.25">
      <c r="A126" s="66"/>
      <c r="B126" s="57"/>
      <c r="C126" s="63"/>
      <c r="D126" s="57"/>
      <c r="E126" s="57"/>
      <c r="F126" s="60"/>
      <c r="G126" s="58"/>
      <c r="H126" s="62"/>
    </row>
    <row r="127" ht="15.75" customHeight="1" spans="1:8" s="1" customFormat="1" x14ac:dyDescent="0.25">
      <c r="A127" s="67"/>
      <c r="B127" s="50"/>
      <c r="C127" s="56"/>
      <c r="D127" s="50"/>
      <c r="E127" s="50"/>
      <c r="F127" s="53"/>
      <c r="G127" s="51"/>
      <c r="H127" s="55"/>
    </row>
    <row r="128" ht="15.75" customHeight="1" spans="1:8" s="1" customFormat="1" x14ac:dyDescent="0.25">
      <c r="A128" s="66"/>
      <c r="B128" s="57"/>
      <c r="C128" s="63"/>
      <c r="D128" s="57"/>
      <c r="E128" s="57"/>
      <c r="F128" s="60"/>
      <c r="G128" s="58"/>
      <c r="H128" s="62"/>
    </row>
    <row r="129" ht="15.75" customHeight="1" spans="1:8" s="1" customFormat="1" x14ac:dyDescent="0.25">
      <c r="A129" s="67"/>
      <c r="B129" s="50"/>
      <c r="C129" s="56"/>
      <c r="D129" s="50"/>
      <c r="E129" s="50"/>
      <c r="F129" s="53"/>
      <c r="G129" s="51"/>
      <c r="H129" s="55"/>
    </row>
    <row r="130" ht="15.75" customHeight="1" spans="1:8" s="1" customFormat="1" x14ac:dyDescent="0.25">
      <c r="A130" s="66"/>
      <c r="B130" s="57"/>
      <c r="C130" s="63"/>
      <c r="D130" s="57"/>
      <c r="E130" s="57"/>
      <c r="F130" s="60"/>
      <c r="G130" s="58"/>
      <c r="H130" s="62"/>
    </row>
    <row r="131" ht="15.75" customHeight="1" spans="1:8" s="1" customFormat="1" x14ac:dyDescent="0.25">
      <c r="A131" s="67"/>
      <c r="B131" s="50"/>
      <c r="C131" s="56"/>
      <c r="D131" s="50"/>
      <c r="E131" s="50"/>
      <c r="F131" s="53"/>
      <c r="G131" s="51"/>
      <c r="H131" s="55"/>
    </row>
    <row r="132" ht="15.75" customHeight="1" spans="1:8" s="1" customFormat="1" x14ac:dyDescent="0.25">
      <c r="A132" s="66"/>
      <c r="B132" s="57"/>
      <c r="C132" s="63"/>
      <c r="D132" s="57"/>
      <c r="E132" s="57"/>
      <c r="F132" s="60"/>
      <c r="G132" s="58"/>
      <c r="H132" s="62"/>
    </row>
    <row r="133" ht="15.75" customHeight="1" spans="1:8" s="1" customFormat="1" x14ac:dyDescent="0.25">
      <c r="A133" s="67"/>
      <c r="B133" s="50"/>
      <c r="C133" s="56"/>
      <c r="D133" s="50"/>
      <c r="E133" s="50"/>
      <c r="F133" s="53"/>
      <c r="G133" s="51"/>
      <c r="H133" s="55"/>
    </row>
    <row r="134" ht="15.75" customHeight="1" spans="1:8" s="1" customFormat="1" x14ac:dyDescent="0.25">
      <c r="A134" s="66"/>
      <c r="B134" s="57"/>
      <c r="C134" s="63"/>
      <c r="D134" s="57"/>
      <c r="E134" s="57"/>
      <c r="F134" s="60"/>
      <c r="G134" s="58"/>
      <c r="H134" s="62"/>
    </row>
    <row r="135" ht="15.75" customHeight="1" spans="1:8" s="1" customFormat="1" x14ac:dyDescent="0.25">
      <c r="A135" s="67"/>
      <c r="B135" s="50"/>
      <c r="C135" s="56"/>
      <c r="D135" s="50"/>
      <c r="E135" s="50"/>
      <c r="F135" s="53"/>
      <c r="G135" s="51"/>
      <c r="H135" s="55"/>
    </row>
    <row r="136" ht="15.75" customHeight="1" spans="1:8" s="1" customFormat="1" x14ac:dyDescent="0.25">
      <c r="A136" s="66"/>
      <c r="B136" s="57"/>
      <c r="C136" s="63"/>
      <c r="D136" s="57"/>
      <c r="E136" s="57"/>
      <c r="F136" s="60"/>
      <c r="G136" s="58"/>
      <c r="H136" s="62"/>
    </row>
    <row r="137" ht="15.75" customHeight="1" spans="1:8" s="1" customFormat="1" x14ac:dyDescent="0.25">
      <c r="A137" s="67"/>
      <c r="B137" s="50"/>
      <c r="C137" s="56"/>
      <c r="D137" s="50"/>
      <c r="E137" s="50"/>
      <c r="F137" s="53"/>
      <c r="G137" s="51"/>
      <c r="H137" s="55"/>
    </row>
    <row r="138" ht="15.75" customHeight="1" spans="1:8" s="1" customFormat="1" x14ac:dyDescent="0.25">
      <c r="A138" s="66"/>
      <c r="B138" s="57"/>
      <c r="C138" s="63"/>
      <c r="D138" s="57"/>
      <c r="E138" s="57"/>
      <c r="F138" s="60"/>
      <c r="G138" s="58"/>
      <c r="H138" s="62"/>
    </row>
    <row r="139" ht="15.75" customHeight="1" spans="1:8" s="1" customFormat="1" x14ac:dyDescent="0.25">
      <c r="A139" s="67"/>
      <c r="B139" s="50"/>
      <c r="C139" s="56"/>
      <c r="D139" s="50"/>
      <c r="E139" s="50"/>
      <c r="F139" s="53"/>
      <c r="G139" s="51"/>
      <c r="H139" s="55"/>
    </row>
    <row r="140" ht="15.75" customHeight="1" spans="1:8" s="1" customFormat="1" x14ac:dyDescent="0.25">
      <c r="A140" s="66"/>
      <c r="B140" s="57"/>
      <c r="C140" s="63"/>
      <c r="D140" s="57"/>
      <c r="E140" s="57"/>
      <c r="F140" s="60"/>
      <c r="G140" s="58"/>
      <c r="H140" s="62"/>
    </row>
    <row r="141" ht="15.75" customHeight="1" spans="1:8" s="1" customFormat="1" x14ac:dyDescent="0.25">
      <c r="A141" s="67"/>
      <c r="B141" s="50"/>
      <c r="C141" s="56"/>
      <c r="D141" s="50"/>
      <c r="E141" s="50"/>
      <c r="F141" s="53"/>
      <c r="G141" s="51"/>
      <c r="H141" s="55"/>
    </row>
    <row r="142" ht="15.75" customHeight="1" spans="1:8" s="1" customFormat="1" x14ac:dyDescent="0.25">
      <c r="A142" s="66"/>
      <c r="B142" s="57"/>
      <c r="C142" s="63"/>
      <c r="D142" s="57"/>
      <c r="E142" s="57"/>
      <c r="F142" s="60"/>
      <c r="G142" s="58"/>
      <c r="H142" s="62"/>
    </row>
    <row r="143" ht="15.75" customHeight="1" spans="1:8" s="1" customFormat="1" x14ac:dyDescent="0.25">
      <c r="A143" s="67"/>
      <c r="B143" s="50"/>
      <c r="C143" s="56"/>
      <c r="D143" s="50"/>
      <c r="E143" s="50"/>
      <c r="F143" s="53"/>
      <c r="G143" s="51"/>
      <c r="H143" s="55"/>
    </row>
    <row r="144" ht="15.75" customHeight="1" spans="1:8" s="1" customFormat="1" x14ac:dyDescent="0.25">
      <c r="A144" s="66"/>
      <c r="B144" s="57"/>
      <c r="C144" s="63"/>
      <c r="D144" s="57"/>
      <c r="E144" s="57"/>
      <c r="F144" s="60"/>
      <c r="G144" s="58"/>
      <c r="H144" s="62"/>
    </row>
    <row r="145" ht="15.75" customHeight="1" spans="1:8" s="1" customFormat="1" x14ac:dyDescent="0.25">
      <c r="A145" s="67"/>
      <c r="B145" s="50"/>
      <c r="C145" s="56"/>
      <c r="D145" s="50"/>
      <c r="E145" s="50"/>
      <c r="F145" s="53"/>
      <c r="G145" s="51"/>
      <c r="H145" s="55"/>
    </row>
    <row r="146" ht="15.75" customHeight="1" spans="1:8" s="1" customFormat="1" x14ac:dyDescent="0.25">
      <c r="A146" s="66"/>
      <c r="B146" s="57"/>
      <c r="C146" s="63"/>
      <c r="D146" s="57"/>
      <c r="E146" s="57"/>
      <c r="F146" s="60"/>
      <c r="G146" s="58"/>
      <c r="H146" s="62"/>
    </row>
    <row r="147" ht="15.75" customHeight="1" spans="1:8" s="1" customFormat="1" x14ac:dyDescent="0.25">
      <c r="A147" s="67"/>
      <c r="B147" s="50"/>
      <c r="C147" s="56"/>
      <c r="D147" s="50"/>
      <c r="E147" s="50"/>
      <c r="F147" s="53"/>
      <c r="G147" s="51"/>
      <c r="H147" s="55"/>
    </row>
    <row r="148" ht="15.75" customHeight="1" spans="1:8" s="1" customFormat="1" x14ac:dyDescent="0.25">
      <c r="A148" s="66"/>
      <c r="B148" s="57"/>
      <c r="C148" s="63"/>
      <c r="D148" s="57"/>
      <c r="E148" s="57"/>
      <c r="F148" s="60"/>
      <c r="G148" s="58"/>
      <c r="H148" s="62"/>
    </row>
    <row r="149" ht="15.75" customHeight="1" spans="1:8" s="1" customFormat="1" x14ac:dyDescent="0.25">
      <c r="A149" s="67"/>
      <c r="B149" s="50"/>
      <c r="C149" s="56"/>
      <c r="D149" s="50"/>
      <c r="E149" s="50"/>
      <c r="F149" s="53"/>
      <c r="G149" s="51"/>
      <c r="H149" s="55"/>
    </row>
    <row r="150" ht="15.75" customHeight="1" spans="1:8" s="1" customFormat="1" x14ac:dyDescent="0.25">
      <c r="A150" s="66"/>
      <c r="B150" s="57"/>
      <c r="C150" s="63"/>
      <c r="D150" s="57"/>
      <c r="E150" s="57"/>
      <c r="F150" s="60"/>
      <c r="G150" s="58"/>
      <c r="H150" s="62"/>
    </row>
    <row r="151" ht="15.75" customHeight="1" spans="1:8" s="1" customFormat="1" x14ac:dyDescent="0.25">
      <c r="A151" s="67"/>
      <c r="B151" s="50"/>
      <c r="C151" s="56"/>
      <c r="D151" s="50"/>
      <c r="E151" s="50"/>
      <c r="F151" s="53"/>
      <c r="G151" s="51"/>
      <c r="H151" s="55"/>
    </row>
    <row r="152" ht="15.75" customHeight="1" spans="1:8" s="1" customFormat="1" x14ac:dyDescent="0.25">
      <c r="A152" s="66"/>
      <c r="B152" s="57"/>
      <c r="C152" s="63"/>
      <c r="D152" s="57"/>
      <c r="E152" s="57"/>
      <c r="F152" s="60"/>
      <c r="G152" s="58"/>
      <c r="H152" s="62"/>
    </row>
    <row r="153" ht="15.75" customHeight="1" spans="1:8" s="1" customFormat="1" x14ac:dyDescent="0.25">
      <c r="A153" s="67"/>
      <c r="B153" s="50"/>
      <c r="C153" s="56"/>
      <c r="D153" s="50"/>
      <c r="E153" s="50"/>
      <c r="F153" s="53"/>
      <c r="G153" s="51"/>
      <c r="H153" s="55"/>
    </row>
    <row r="154" ht="15.75" customHeight="1" spans="1:8" s="1" customFormat="1" x14ac:dyDescent="0.25">
      <c r="A154" s="66"/>
      <c r="B154" s="57"/>
      <c r="C154" s="63"/>
      <c r="D154" s="57"/>
      <c r="E154" s="57"/>
      <c r="F154" s="60"/>
      <c r="G154" s="58"/>
      <c r="H154" s="62"/>
    </row>
    <row r="155" ht="15.75" customHeight="1" spans="1:8" s="1" customFormat="1" x14ac:dyDescent="0.25">
      <c r="A155" s="67"/>
      <c r="B155" s="50"/>
      <c r="C155" s="56"/>
      <c r="D155" s="50"/>
      <c r="E155" s="50"/>
      <c r="F155" s="53"/>
      <c r="G155" s="51"/>
      <c r="H155" s="55"/>
    </row>
    <row r="156" ht="15.75" customHeight="1" spans="1:8" s="1" customFormat="1" x14ac:dyDescent="0.25">
      <c r="A156" s="66"/>
      <c r="B156" s="57"/>
      <c r="C156" s="63"/>
      <c r="D156" s="57"/>
      <c r="E156" s="57"/>
      <c r="F156" s="60"/>
      <c r="G156" s="58"/>
      <c r="H156" s="62"/>
    </row>
    <row r="157" ht="15.75" customHeight="1" spans="1:8" s="1" customFormat="1" x14ac:dyDescent="0.25">
      <c r="A157" s="67"/>
      <c r="B157" s="50"/>
      <c r="C157" s="56"/>
      <c r="D157" s="50"/>
      <c r="E157" s="50"/>
      <c r="F157" s="53"/>
      <c r="G157" s="51"/>
      <c r="H157" s="55"/>
    </row>
    <row r="158" ht="15.75" customHeight="1" spans="1:8" s="1" customFormat="1" x14ac:dyDescent="0.25">
      <c r="A158" s="66"/>
      <c r="B158" s="57"/>
      <c r="C158" s="63"/>
      <c r="D158" s="57"/>
      <c r="E158" s="57"/>
      <c r="F158" s="60"/>
      <c r="G158" s="58"/>
      <c r="H158" s="62"/>
    </row>
    <row r="159" ht="15.75" customHeight="1" spans="1:8" s="1" customFormat="1" x14ac:dyDescent="0.25">
      <c r="A159" s="67"/>
      <c r="B159" s="50"/>
      <c r="C159" s="56"/>
      <c r="D159" s="50"/>
      <c r="E159" s="50"/>
      <c r="F159" s="53"/>
      <c r="G159" s="51"/>
      <c r="H159" s="55"/>
    </row>
    <row r="160" ht="15.75" customHeight="1" spans="1:8" s="1" customFormat="1" x14ac:dyDescent="0.25">
      <c r="A160" s="66"/>
      <c r="B160" s="57"/>
      <c r="C160" s="63"/>
      <c r="D160" s="57"/>
      <c r="E160" s="57"/>
      <c r="F160" s="60"/>
      <c r="G160" s="58"/>
      <c r="H160" s="62"/>
    </row>
    <row r="161" ht="15.75" customHeight="1" spans="1:8" s="1" customFormat="1" x14ac:dyDescent="0.25">
      <c r="A161" s="67"/>
      <c r="B161" s="50"/>
      <c r="C161" s="56"/>
      <c r="D161" s="50"/>
      <c r="E161" s="50"/>
      <c r="F161" s="53"/>
      <c r="G161" s="51"/>
      <c r="H161" s="55"/>
    </row>
    <row r="162" ht="15.75" customHeight="1" spans="1:8" s="1" customFormat="1" x14ac:dyDescent="0.25">
      <c r="A162" s="66"/>
      <c r="B162" s="57"/>
      <c r="C162" s="63"/>
      <c r="D162" s="57"/>
      <c r="E162" s="57"/>
      <c r="F162" s="60"/>
      <c r="G162" s="58"/>
      <c r="H162" s="62"/>
    </row>
    <row r="163" ht="15.75" customHeight="1" spans="1:8" s="1" customFormat="1" x14ac:dyDescent="0.25">
      <c r="A163" s="67"/>
      <c r="B163" s="50"/>
      <c r="C163" s="56"/>
      <c r="D163" s="50"/>
      <c r="E163" s="50"/>
      <c r="F163" s="53"/>
      <c r="G163" s="51"/>
      <c r="H163" s="55"/>
    </row>
    <row r="164" ht="15.75" customHeight="1" spans="1:8" s="1" customFormat="1" x14ac:dyDescent="0.25">
      <c r="A164" s="66"/>
      <c r="B164" s="57"/>
      <c r="C164" s="63"/>
      <c r="D164" s="57"/>
      <c r="E164" s="57"/>
      <c r="F164" s="60"/>
      <c r="G164" s="58"/>
      <c r="H164" s="62"/>
    </row>
    <row r="165" ht="15.75" customHeight="1" spans="1:8" s="1" customFormat="1" x14ac:dyDescent="0.25">
      <c r="A165" s="67"/>
      <c r="B165" s="50"/>
      <c r="C165" s="56"/>
      <c r="D165" s="50"/>
      <c r="E165" s="50"/>
      <c r="F165" s="53"/>
      <c r="G165" s="51"/>
      <c r="H165" s="55"/>
    </row>
    <row r="166" ht="15.75" customHeight="1" spans="1:8" s="1" customFormat="1" x14ac:dyDescent="0.25">
      <c r="A166" s="66"/>
      <c r="B166" s="57"/>
      <c r="C166" s="63"/>
      <c r="D166" s="57"/>
      <c r="E166" s="57"/>
      <c r="F166" s="60"/>
      <c r="G166" s="58"/>
      <c r="H166" s="62"/>
    </row>
    <row r="167" ht="15.75" customHeight="1" spans="1:8" s="1" customFormat="1" x14ac:dyDescent="0.25">
      <c r="A167" s="67"/>
      <c r="B167" s="50"/>
      <c r="C167" s="56"/>
      <c r="D167" s="50"/>
      <c r="E167" s="50"/>
      <c r="F167" s="53"/>
      <c r="G167" s="51"/>
      <c r="H167" s="55"/>
    </row>
    <row r="168" ht="15.75" customHeight="1" spans="1:8" s="1" customFormat="1" x14ac:dyDescent="0.25">
      <c r="A168" s="66"/>
      <c r="B168" s="57"/>
      <c r="C168" s="63"/>
      <c r="D168" s="57"/>
      <c r="E168" s="57"/>
      <c r="F168" s="60"/>
      <c r="G168" s="58"/>
      <c r="H168" s="62"/>
    </row>
    <row r="169" ht="15.75" customHeight="1" spans="1:8" s="1" customFormat="1" x14ac:dyDescent="0.25">
      <c r="A169" s="67"/>
      <c r="B169" s="50"/>
      <c r="C169" s="56"/>
      <c r="D169" s="50"/>
      <c r="E169" s="50"/>
      <c r="F169" s="53"/>
      <c r="G169" s="51"/>
      <c r="H169" s="55"/>
    </row>
    <row r="170" ht="15.75" customHeight="1" spans="1:8" s="1" customFormat="1" x14ac:dyDescent="0.25">
      <c r="A170" s="66"/>
      <c r="B170" s="57"/>
      <c r="C170" s="63"/>
      <c r="D170" s="57"/>
      <c r="E170" s="57"/>
      <c r="F170" s="60"/>
      <c r="G170" s="58"/>
      <c r="H170" s="62"/>
    </row>
    <row r="171" ht="15.75" customHeight="1" spans="1:8" s="1" customFormat="1" x14ac:dyDescent="0.25">
      <c r="A171" s="67"/>
      <c r="B171" s="50"/>
      <c r="C171" s="56"/>
      <c r="D171" s="50"/>
      <c r="E171" s="50"/>
      <c r="F171" s="53"/>
      <c r="G171" s="51"/>
      <c r="H171" s="55"/>
    </row>
    <row r="172" ht="15.75" customHeight="1" spans="1:8" s="1" customFormat="1" x14ac:dyDescent="0.25">
      <c r="A172" s="66"/>
      <c r="B172" s="57"/>
      <c r="C172" s="63"/>
      <c r="D172" s="57"/>
      <c r="E172" s="57"/>
      <c r="F172" s="60"/>
      <c r="G172" s="58"/>
      <c r="H172" s="62"/>
    </row>
    <row r="173" ht="15.75" customHeight="1" spans="1:8" s="1" customFormat="1" x14ac:dyDescent="0.25">
      <c r="A173" s="67"/>
      <c r="B173" s="50"/>
      <c r="C173" s="56"/>
      <c r="D173" s="50"/>
      <c r="E173" s="50"/>
      <c r="F173" s="53"/>
      <c r="G173" s="51"/>
      <c r="H173" s="55"/>
    </row>
    <row r="174" ht="15.75" customHeight="1" spans="1:8" s="1" customFormat="1" x14ac:dyDescent="0.25">
      <c r="A174" s="66"/>
      <c r="B174" s="57"/>
      <c r="C174" s="63"/>
      <c r="D174" s="57"/>
      <c r="E174" s="57"/>
      <c r="F174" s="60"/>
      <c r="G174" s="58"/>
      <c r="H174" s="62"/>
    </row>
    <row r="175" ht="15.75" customHeight="1" spans="1:8" s="1" customFormat="1" x14ac:dyDescent="0.25">
      <c r="A175" s="67"/>
      <c r="B175" s="50"/>
      <c r="C175" s="56"/>
      <c r="D175" s="50"/>
      <c r="E175" s="50"/>
      <c r="F175" s="53"/>
      <c r="G175" s="51"/>
      <c r="H175" s="55"/>
    </row>
    <row r="176" ht="15.75" customHeight="1" spans="1:8" s="1" customFormat="1" x14ac:dyDescent="0.25">
      <c r="A176" s="66"/>
      <c r="B176" s="57"/>
      <c r="C176" s="63"/>
      <c r="D176" s="57"/>
      <c r="E176" s="57"/>
      <c r="F176" s="60"/>
      <c r="G176" s="58"/>
      <c r="H176" s="62"/>
    </row>
    <row r="177" ht="15.75" customHeight="1" spans="1:8" s="1" customFormat="1" x14ac:dyDescent="0.25">
      <c r="A177" s="67"/>
      <c r="B177" s="50"/>
      <c r="C177" s="56"/>
      <c r="D177" s="50"/>
      <c r="E177" s="50"/>
      <c r="F177" s="53"/>
      <c r="G177" s="51"/>
      <c r="H177" s="55"/>
    </row>
    <row r="178" ht="15.75" customHeight="1" spans="1:8" s="1" customFormat="1" x14ac:dyDescent="0.25">
      <c r="A178" s="66"/>
      <c r="B178" s="57"/>
      <c r="C178" s="63"/>
      <c r="D178" s="57"/>
      <c r="E178" s="57"/>
      <c r="F178" s="60"/>
      <c r="G178" s="58"/>
      <c r="H178" s="62"/>
    </row>
    <row r="179" ht="15.75" customHeight="1" spans="1:8" s="1" customFormat="1" x14ac:dyDescent="0.25">
      <c r="A179" s="67"/>
      <c r="B179" s="50"/>
      <c r="C179" s="56"/>
      <c r="D179" s="50"/>
      <c r="E179" s="50"/>
      <c r="F179" s="53"/>
      <c r="G179" s="51"/>
      <c r="H179" s="55"/>
    </row>
    <row r="180" ht="15.75" customHeight="1" spans="1:8" s="1" customFormat="1" x14ac:dyDescent="0.25">
      <c r="A180" s="66"/>
      <c r="B180" s="57"/>
      <c r="C180" s="63"/>
      <c r="D180" s="57"/>
      <c r="E180" s="57"/>
      <c r="F180" s="60"/>
      <c r="G180" s="58"/>
      <c r="H180" s="62"/>
    </row>
    <row r="181" ht="15.75" customHeight="1" spans="1:8" s="1" customFormat="1" x14ac:dyDescent="0.25">
      <c r="A181" s="67"/>
      <c r="B181" s="50"/>
      <c r="C181" s="56"/>
      <c r="D181" s="50"/>
      <c r="E181" s="50"/>
      <c r="F181" s="53"/>
      <c r="G181" s="51"/>
      <c r="H181" s="55"/>
    </row>
    <row r="182" ht="15.75" customHeight="1" spans="1:8" s="1" customFormat="1" x14ac:dyDescent="0.25">
      <c r="A182" s="66"/>
      <c r="B182" s="57"/>
      <c r="C182" s="63"/>
      <c r="D182" s="57"/>
      <c r="E182" s="57"/>
      <c r="F182" s="60"/>
      <c r="G182" s="58"/>
      <c r="H182" s="62"/>
    </row>
    <row r="183" ht="15.75" customHeight="1" spans="1:8" s="1" customFormat="1" x14ac:dyDescent="0.25">
      <c r="A183" s="67"/>
      <c r="B183" s="50"/>
      <c r="C183" s="56"/>
      <c r="D183" s="50"/>
      <c r="E183" s="50"/>
      <c r="F183" s="53"/>
      <c r="G183" s="51"/>
      <c r="H183" s="55"/>
    </row>
    <row r="184" ht="15.75" customHeight="1" spans="1:8" s="1" customFormat="1" x14ac:dyDescent="0.25">
      <c r="A184" s="66"/>
      <c r="B184" s="57"/>
      <c r="C184" s="63"/>
      <c r="D184" s="57"/>
      <c r="E184" s="57"/>
      <c r="F184" s="60"/>
      <c r="G184" s="58"/>
      <c r="H184" s="62"/>
    </row>
    <row r="185" ht="15.75" customHeight="1" spans="1:8" s="1" customFormat="1" x14ac:dyDescent="0.25">
      <c r="A185" s="67"/>
      <c r="B185" s="50"/>
      <c r="C185" s="56"/>
      <c r="D185" s="50"/>
      <c r="E185" s="50"/>
      <c r="F185" s="53"/>
      <c r="G185" s="51"/>
      <c r="H185" s="55"/>
    </row>
    <row r="186" ht="15.75" customHeight="1" spans="1:8" s="1" customFormat="1" x14ac:dyDescent="0.25">
      <c r="A186" s="66"/>
      <c r="B186" s="57"/>
      <c r="C186" s="63"/>
      <c r="D186" s="57"/>
      <c r="E186" s="57"/>
      <c r="F186" s="60"/>
      <c r="G186" s="58"/>
      <c r="H186" s="62"/>
    </row>
    <row r="187" ht="15.75" customHeight="1" spans="1:8" s="1" customFormat="1" x14ac:dyDescent="0.25">
      <c r="A187" s="67"/>
      <c r="B187" s="50"/>
      <c r="C187" s="56"/>
      <c r="D187" s="50"/>
      <c r="E187" s="50"/>
      <c r="F187" s="53"/>
      <c r="G187" s="51"/>
      <c r="H187" s="55"/>
    </row>
    <row r="188" ht="15.75" customHeight="1" spans="1:8" s="1" customFormat="1" x14ac:dyDescent="0.25">
      <c r="A188" s="66"/>
      <c r="B188" s="57"/>
      <c r="C188" s="63"/>
      <c r="D188" s="57"/>
      <c r="E188" s="57"/>
      <c r="F188" s="60"/>
      <c r="G188" s="58"/>
      <c r="H188" s="62"/>
    </row>
    <row r="189" ht="15.75" customHeight="1" spans="1:8" s="1" customFormat="1" x14ac:dyDescent="0.25">
      <c r="A189" s="67"/>
      <c r="B189" s="50"/>
      <c r="C189" s="56"/>
      <c r="D189" s="50"/>
      <c r="E189" s="50"/>
      <c r="F189" s="53"/>
      <c r="G189" s="51"/>
      <c r="H189" s="55"/>
    </row>
    <row r="190" ht="15.75" customHeight="1" spans="1:8" s="1" customFormat="1" x14ac:dyDescent="0.25">
      <c r="A190" s="66"/>
      <c r="B190" s="57"/>
      <c r="C190" s="63"/>
      <c r="D190" s="57"/>
      <c r="E190" s="57"/>
      <c r="F190" s="60"/>
      <c r="G190" s="58"/>
      <c r="H190" s="62"/>
    </row>
    <row r="191" ht="15.75" customHeight="1" spans="1:8" s="1" customFormat="1" x14ac:dyDescent="0.25">
      <c r="A191" s="67"/>
      <c r="B191" s="50"/>
      <c r="C191" s="56"/>
      <c r="D191" s="50"/>
      <c r="E191" s="50"/>
      <c r="F191" s="53"/>
      <c r="G191" s="51"/>
      <c r="H191" s="55"/>
    </row>
    <row r="192" ht="15.75" customHeight="1" spans="1:8" s="1" customFormat="1" x14ac:dyDescent="0.25">
      <c r="A192" s="66"/>
      <c r="B192" s="57"/>
      <c r="C192" s="63"/>
      <c r="D192" s="57"/>
      <c r="E192" s="57"/>
      <c r="F192" s="60"/>
      <c r="G192" s="58"/>
      <c r="H192" s="62"/>
    </row>
    <row r="193" ht="15.75" customHeight="1" spans="1:8" s="1" customFormat="1" x14ac:dyDescent="0.25">
      <c r="A193" s="67"/>
      <c r="B193" s="50"/>
      <c r="C193" s="56"/>
      <c r="D193" s="50"/>
      <c r="E193" s="50"/>
      <c r="F193" s="53"/>
      <c r="G193" s="51"/>
      <c r="H193" s="55"/>
    </row>
    <row r="194" ht="15.75" customHeight="1" spans="1:8" s="1" customFormat="1" x14ac:dyDescent="0.25">
      <c r="A194" s="66"/>
      <c r="B194" s="57"/>
      <c r="C194" s="63"/>
      <c r="D194" s="57"/>
      <c r="E194" s="57"/>
      <c r="F194" s="60"/>
      <c r="G194" s="58"/>
      <c r="H194" s="62"/>
    </row>
    <row r="195" ht="15.75" customHeight="1" spans="1:8" s="1" customFormat="1" x14ac:dyDescent="0.25">
      <c r="A195" s="67"/>
      <c r="B195" s="50"/>
      <c r="C195" s="56"/>
      <c r="D195" s="50"/>
      <c r="E195" s="50"/>
      <c r="F195" s="53"/>
      <c r="G195" s="51"/>
      <c r="H195" s="55"/>
    </row>
    <row r="196" ht="15.75" customHeight="1" spans="1:8" s="1" customFormat="1" x14ac:dyDescent="0.25">
      <c r="A196" s="66"/>
      <c r="B196" s="57"/>
      <c r="C196" s="63"/>
      <c r="D196" s="57"/>
      <c r="E196" s="57"/>
      <c r="F196" s="60"/>
      <c r="G196" s="58"/>
      <c r="H196" s="62"/>
    </row>
    <row r="197" ht="15.75" customHeight="1" spans="1:8" s="1" customFormat="1" x14ac:dyDescent="0.25">
      <c r="A197" s="67"/>
      <c r="B197" s="50"/>
      <c r="C197" s="56"/>
      <c r="D197" s="50"/>
      <c r="E197" s="50"/>
      <c r="F197" s="53"/>
      <c r="G197" s="51"/>
      <c r="H197" s="55"/>
    </row>
    <row r="198" ht="15.75" customHeight="1" spans="1:8" s="1" customFormat="1" x14ac:dyDescent="0.25">
      <c r="A198" s="66"/>
      <c r="B198" s="57"/>
      <c r="C198" s="63"/>
      <c r="D198" s="57"/>
      <c r="E198" s="57"/>
      <c r="F198" s="60"/>
      <c r="G198" s="58"/>
      <c r="H198" s="62"/>
    </row>
    <row r="199" ht="15.75" customHeight="1" spans="1:8" s="1" customFormat="1" x14ac:dyDescent="0.25">
      <c r="A199" s="67"/>
      <c r="B199" s="50"/>
      <c r="C199" s="56"/>
      <c r="D199" s="50"/>
      <c r="E199" s="50"/>
      <c r="F199" s="53"/>
      <c r="G199" s="51"/>
      <c r="H199" s="55"/>
    </row>
    <row r="200" ht="15.75" customHeight="1" spans="1:8" s="1" customFormat="1" x14ac:dyDescent="0.25">
      <c r="A200" s="66"/>
      <c r="B200" s="57"/>
      <c r="C200" s="63"/>
      <c r="D200" s="57"/>
      <c r="E200" s="57"/>
      <c r="F200" s="60"/>
      <c r="G200" s="58"/>
      <c r="H200" s="62"/>
    </row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H1"/>
    <mergeCell ref="A2:H2"/>
    <mergeCell ref="A3:H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2" style="1" customWidth="1"/>
    <col min="2" max="2" width="10" style="1" customWidth="1"/>
    <col min="3" max="4" width="12" style="1" customWidth="1"/>
    <col min="5" max="5" width="28" style="1" customWidth="1"/>
    <col min="6" max="6" width="11" style="1" customWidth="1"/>
    <col min="7" max="8" width="12" style="1" customWidth="1"/>
    <col min="9" max="9" width="13" style="1" customWidth="1"/>
    <col min="10" max="10" width="16" style="1" customWidth="1"/>
    <col min="11" max="11" width="12" style="1" customWidth="1"/>
    <col min="12" max="26" width="8.71" style="1" customWidth="1"/>
  </cols>
  <sheetData>
    <row r="1" ht="27.75" customHeight="1" spans="1:11" s="1" customForma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s="1" customFormat="1" x14ac:dyDescent="0.25">
      <c r="A2" s="8" t="s">
        <v>123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s="1" customFormat="1" x14ac:dyDescent="0.25">
      <c r="A3" s="9" t="s">
        <v>124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1.5" customHeight="1" spans="1:11" s="1" customFormat="1" x14ac:dyDescent="0.25">
      <c r="A4" s="22" t="s">
        <v>113</v>
      </c>
      <c r="B4" s="22" t="s">
        <v>125</v>
      </c>
      <c r="C4" s="22" t="s">
        <v>126</v>
      </c>
      <c r="D4" s="22" t="s">
        <v>127</v>
      </c>
      <c r="E4" s="22" t="s">
        <v>128</v>
      </c>
      <c r="F4" s="22" t="s">
        <v>116</v>
      </c>
      <c r="G4" s="22" t="s">
        <v>129</v>
      </c>
      <c r="H4" s="22" t="s">
        <v>130</v>
      </c>
      <c r="I4" s="22" t="s">
        <v>131</v>
      </c>
      <c r="J4" s="22" t="s">
        <v>132</v>
      </c>
      <c r="K4" s="22" t="s">
        <v>103</v>
      </c>
    </row>
    <row r="5" spans="1:11" x14ac:dyDescent="0.25">
      <c r="A5" s="64">
        <v>46156.625</v>
      </c>
      <c r="B5" s="38" t="s">
        <v>133</v>
      </c>
      <c r="C5" s="38" t="s">
        <v>74</v>
      </c>
      <c r="D5" s="38" t="s">
        <v>104</v>
      </c>
      <c r="E5" s="33"/>
      <c r="F5" s="41">
        <v>10</v>
      </c>
      <c r="G5" s="43"/>
      <c r="H5" s="68">
        <v>0</v>
      </c>
      <c r="I5" s="43"/>
      <c r="J5" s="38" t="s">
        <v>134</v>
      </c>
      <c r="K5" s="38" t="s">
        <v>135</v>
      </c>
    </row>
    <row r="6" spans="1:11" x14ac:dyDescent="0.25">
      <c r="A6" s="65">
        <v>46156.625</v>
      </c>
      <c r="B6" s="44" t="s">
        <v>136</v>
      </c>
      <c r="C6" s="44" t="s">
        <v>82</v>
      </c>
      <c r="D6" s="44" t="s">
        <v>108</v>
      </c>
      <c r="E6" s="36"/>
      <c r="F6" s="47">
        <v>100</v>
      </c>
      <c r="G6" s="49"/>
      <c r="H6" s="69">
        <v>10</v>
      </c>
      <c r="I6" s="49"/>
      <c r="J6" s="44" t="s">
        <v>134</v>
      </c>
      <c r="K6" s="44" t="s">
        <v>137</v>
      </c>
    </row>
    <row r="7" spans="1:11" x14ac:dyDescent="0.25">
      <c r="A7" s="64"/>
      <c r="B7" s="38"/>
      <c r="C7" s="38"/>
      <c r="D7" s="38"/>
      <c r="E7" s="33"/>
      <c r="F7" s="41"/>
      <c r="G7" s="43"/>
      <c r="H7" s="68"/>
      <c r="I7" s="43"/>
      <c r="J7" s="38"/>
      <c r="K7" s="38"/>
    </row>
    <row r="8" spans="1:11" x14ac:dyDescent="0.25">
      <c r="A8" s="65"/>
      <c r="B8" s="44"/>
      <c r="C8" s="44"/>
      <c r="D8" s="44"/>
      <c r="E8" s="36"/>
      <c r="F8" s="47"/>
      <c r="G8" s="49"/>
      <c r="H8" s="69"/>
      <c r="I8" s="49"/>
      <c r="J8" s="44"/>
      <c r="K8" s="44"/>
    </row>
    <row r="9" spans="1:11" x14ac:dyDescent="0.25">
      <c r="A9" s="64"/>
      <c r="B9" s="38"/>
      <c r="C9" s="38"/>
      <c r="D9" s="38"/>
      <c r="E9" s="33"/>
      <c r="F9" s="41"/>
      <c r="G9" s="43"/>
      <c r="H9" s="68"/>
      <c r="I9" s="43"/>
      <c r="J9" s="38"/>
      <c r="K9" s="38"/>
    </row>
    <row r="10" spans="1:11" x14ac:dyDescent="0.25">
      <c r="A10" s="65"/>
      <c r="B10" s="44"/>
      <c r="C10" s="44"/>
      <c r="D10" s="44"/>
      <c r="E10" s="36"/>
      <c r="F10" s="47"/>
      <c r="G10" s="49"/>
      <c r="H10" s="69"/>
      <c r="I10" s="49"/>
      <c r="J10" s="44"/>
      <c r="K10" s="44"/>
    </row>
    <row r="11" spans="1:11" x14ac:dyDescent="0.25">
      <c r="A11" s="64"/>
      <c r="B11" s="38"/>
      <c r="C11" s="38"/>
      <c r="D11" s="38"/>
      <c r="E11" s="33"/>
      <c r="F11" s="41"/>
      <c r="G11" s="43"/>
      <c r="H11" s="68"/>
      <c r="I11" s="43"/>
      <c r="J11" s="38"/>
      <c r="K11" s="38"/>
    </row>
    <row r="12" spans="1:11" x14ac:dyDescent="0.25">
      <c r="A12" s="65"/>
      <c r="B12" s="44"/>
      <c r="C12" s="44"/>
      <c r="D12" s="44"/>
      <c r="E12" s="36"/>
      <c r="F12" s="47"/>
      <c r="G12" s="49"/>
      <c r="H12" s="69"/>
      <c r="I12" s="49"/>
      <c r="J12" s="44"/>
      <c r="K12" s="44"/>
    </row>
    <row r="13" spans="1:11" x14ac:dyDescent="0.25">
      <c r="A13" s="64"/>
      <c r="B13" s="38"/>
      <c r="C13" s="38"/>
      <c r="D13" s="38"/>
      <c r="E13" s="33"/>
      <c r="F13" s="41"/>
      <c r="G13" s="43"/>
      <c r="H13" s="68"/>
      <c r="I13" s="43"/>
      <c r="J13" s="38"/>
      <c r="K13" s="38"/>
    </row>
    <row r="14" spans="1:11" x14ac:dyDescent="0.25">
      <c r="A14" s="65"/>
      <c r="B14" s="44"/>
      <c r="C14" s="44"/>
      <c r="D14" s="44"/>
      <c r="E14" s="36"/>
      <c r="F14" s="47"/>
      <c r="G14" s="49"/>
      <c r="H14" s="69"/>
      <c r="I14" s="49"/>
      <c r="J14" s="44"/>
      <c r="K14" s="44"/>
    </row>
    <row r="15" spans="1:11" x14ac:dyDescent="0.25">
      <c r="A15" s="67"/>
      <c r="B15" s="50"/>
      <c r="C15" s="50"/>
      <c r="D15" s="50"/>
      <c r="E15" s="56"/>
      <c r="F15" s="53"/>
      <c r="G15" s="55"/>
      <c r="H15" s="70"/>
      <c r="I15" s="55"/>
      <c r="J15" s="50"/>
      <c r="K15" s="50"/>
    </row>
    <row r="16" spans="1:11" x14ac:dyDescent="0.25">
      <c r="A16" s="66"/>
      <c r="B16" s="57"/>
      <c r="C16" s="57"/>
      <c r="D16" s="57"/>
      <c r="E16" s="63"/>
      <c r="F16" s="60"/>
      <c r="G16" s="62"/>
      <c r="H16" s="71"/>
      <c r="I16" s="62"/>
      <c r="J16" s="57"/>
      <c r="K16" s="57"/>
    </row>
    <row r="17" spans="1:11" x14ac:dyDescent="0.25">
      <c r="A17" s="67"/>
      <c r="B17" s="50"/>
      <c r="C17" s="50"/>
      <c r="D17" s="50"/>
      <c r="E17" s="56"/>
      <c r="F17" s="53"/>
      <c r="G17" s="55"/>
      <c r="H17" s="70"/>
      <c r="I17" s="55"/>
      <c r="J17" s="50"/>
      <c r="K17" s="50"/>
    </row>
    <row r="18" spans="1:11" x14ac:dyDescent="0.25">
      <c r="A18" s="66"/>
      <c r="B18" s="57"/>
      <c r="C18" s="57"/>
      <c r="D18" s="57"/>
      <c r="E18" s="63"/>
      <c r="F18" s="60"/>
      <c r="G18" s="62"/>
      <c r="H18" s="71"/>
      <c r="I18" s="62"/>
      <c r="J18" s="57"/>
      <c r="K18" s="57"/>
    </row>
    <row r="19" spans="1:11" x14ac:dyDescent="0.25">
      <c r="A19" s="67"/>
      <c r="B19" s="50"/>
      <c r="C19" s="50"/>
      <c r="D19" s="50"/>
      <c r="E19" s="56"/>
      <c r="F19" s="53"/>
      <c r="G19" s="55"/>
      <c r="H19" s="70"/>
      <c r="I19" s="55"/>
      <c r="J19" s="50"/>
      <c r="K19" s="50"/>
    </row>
    <row r="20" spans="1:11" x14ac:dyDescent="0.25">
      <c r="A20" s="66"/>
      <c r="B20" s="57"/>
      <c r="C20" s="57"/>
      <c r="D20" s="57"/>
      <c r="E20" s="63"/>
      <c r="F20" s="60"/>
      <c r="G20" s="62"/>
      <c r="H20" s="71"/>
      <c r="I20" s="62"/>
      <c r="J20" s="57"/>
      <c r="K20" s="57"/>
    </row>
    <row r="21" ht="15.75" customHeight="1" spans="1:11" s="1" customFormat="1" x14ac:dyDescent="0.25">
      <c r="A21" s="67"/>
      <c r="B21" s="50"/>
      <c r="C21" s="50"/>
      <c r="D21" s="50"/>
      <c r="E21" s="56"/>
      <c r="F21" s="53"/>
      <c r="G21" s="55"/>
      <c r="H21" s="70"/>
      <c r="I21" s="55"/>
      <c r="J21" s="50"/>
      <c r="K21" s="50"/>
    </row>
    <row r="22" ht="15.75" customHeight="1" spans="1:11" s="1" customFormat="1" x14ac:dyDescent="0.25">
      <c r="A22" s="66"/>
      <c r="B22" s="57"/>
      <c r="C22" s="57"/>
      <c r="D22" s="57"/>
      <c r="E22" s="63"/>
      <c r="F22" s="60"/>
      <c r="G22" s="62"/>
      <c r="H22" s="71"/>
      <c r="I22" s="62"/>
      <c r="J22" s="57"/>
      <c r="K22" s="57"/>
    </row>
    <row r="23" ht="15.75" customHeight="1" spans="1:11" s="1" customFormat="1" x14ac:dyDescent="0.25">
      <c r="A23" s="67"/>
      <c r="B23" s="50"/>
      <c r="C23" s="50"/>
      <c r="D23" s="50"/>
      <c r="E23" s="56"/>
      <c r="F23" s="53"/>
      <c r="G23" s="55"/>
      <c r="H23" s="70"/>
      <c r="I23" s="55"/>
      <c r="J23" s="50"/>
      <c r="K23" s="50"/>
    </row>
    <row r="24" ht="15.75" customHeight="1" spans="1:11" s="1" customFormat="1" x14ac:dyDescent="0.25">
      <c r="A24" s="66"/>
      <c r="B24" s="57"/>
      <c r="C24" s="57"/>
      <c r="D24" s="57"/>
      <c r="E24" s="63"/>
      <c r="F24" s="60"/>
      <c r="G24" s="62"/>
      <c r="H24" s="71"/>
      <c r="I24" s="62"/>
      <c r="J24" s="57"/>
      <c r="K24" s="57"/>
    </row>
    <row r="25" ht="15.75" customHeight="1" spans="1:11" s="1" customFormat="1" x14ac:dyDescent="0.25">
      <c r="A25" s="67"/>
      <c r="B25" s="50"/>
      <c r="C25" s="50"/>
      <c r="D25" s="50"/>
      <c r="E25" s="56"/>
      <c r="F25" s="53"/>
      <c r="G25" s="55"/>
      <c r="H25" s="70"/>
      <c r="I25" s="55"/>
      <c r="J25" s="50"/>
      <c r="K25" s="50"/>
    </row>
    <row r="26" ht="15.75" customHeight="1" spans="1:11" s="1" customFormat="1" x14ac:dyDescent="0.25">
      <c r="A26" s="66"/>
      <c r="B26" s="57"/>
      <c r="C26" s="57"/>
      <c r="D26" s="57"/>
      <c r="E26" s="63"/>
      <c r="F26" s="60"/>
      <c r="G26" s="62"/>
      <c r="H26" s="71"/>
      <c r="I26" s="62"/>
      <c r="J26" s="57"/>
      <c r="K26" s="57"/>
    </row>
    <row r="27" ht="15.75" customHeight="1" spans="1:11" s="1" customFormat="1" x14ac:dyDescent="0.25">
      <c r="A27" s="67"/>
      <c r="B27" s="50"/>
      <c r="C27" s="50"/>
      <c r="D27" s="50"/>
      <c r="E27" s="56"/>
      <c r="F27" s="53"/>
      <c r="G27" s="55"/>
      <c r="H27" s="70"/>
      <c r="I27" s="55"/>
      <c r="J27" s="50"/>
      <c r="K27" s="50"/>
    </row>
    <row r="28" ht="15.75" customHeight="1" spans="1:11" s="1" customFormat="1" x14ac:dyDescent="0.25">
      <c r="A28" s="66"/>
      <c r="B28" s="57"/>
      <c r="C28" s="57"/>
      <c r="D28" s="57"/>
      <c r="E28" s="63"/>
      <c r="F28" s="60"/>
      <c r="G28" s="62"/>
      <c r="H28" s="71"/>
      <c r="I28" s="62"/>
      <c r="J28" s="57"/>
      <c r="K28" s="57"/>
    </row>
    <row r="29" ht="15.75" customHeight="1" spans="1:11" s="1" customFormat="1" x14ac:dyDescent="0.25">
      <c r="A29" s="67"/>
      <c r="B29" s="50"/>
      <c r="C29" s="50"/>
      <c r="D29" s="50"/>
      <c r="E29" s="56"/>
      <c r="F29" s="53"/>
      <c r="G29" s="55"/>
      <c r="H29" s="70"/>
      <c r="I29" s="55"/>
      <c r="J29" s="50"/>
      <c r="K29" s="50"/>
    </row>
    <row r="30" ht="15.75" customHeight="1" spans="1:11" s="1" customFormat="1" x14ac:dyDescent="0.25">
      <c r="A30" s="66"/>
      <c r="B30" s="57"/>
      <c r="C30" s="57"/>
      <c r="D30" s="57"/>
      <c r="E30" s="63"/>
      <c r="F30" s="60"/>
      <c r="G30" s="62"/>
      <c r="H30" s="71"/>
      <c r="I30" s="62"/>
      <c r="J30" s="57"/>
      <c r="K30" s="57"/>
    </row>
    <row r="31" ht="15.75" customHeight="1" spans="1:11" s="1" customFormat="1" x14ac:dyDescent="0.25">
      <c r="A31" s="67"/>
      <c r="B31" s="50"/>
      <c r="C31" s="50"/>
      <c r="D31" s="50"/>
      <c r="E31" s="56"/>
      <c r="F31" s="53"/>
      <c r="G31" s="55"/>
      <c r="H31" s="70"/>
      <c r="I31" s="55"/>
      <c r="J31" s="50"/>
      <c r="K31" s="50"/>
    </row>
    <row r="32" ht="15.75" customHeight="1" spans="1:11" s="1" customFormat="1" x14ac:dyDescent="0.25">
      <c r="A32" s="66"/>
      <c r="B32" s="57"/>
      <c r="C32" s="57"/>
      <c r="D32" s="57"/>
      <c r="E32" s="63"/>
      <c r="F32" s="60"/>
      <c r="G32" s="62"/>
      <c r="H32" s="71"/>
      <c r="I32" s="62"/>
      <c r="J32" s="57"/>
      <c r="K32" s="57"/>
    </row>
    <row r="33" ht="15.75" customHeight="1" spans="1:11" s="1" customFormat="1" x14ac:dyDescent="0.25">
      <c r="A33" s="67"/>
      <c r="B33" s="50"/>
      <c r="C33" s="50"/>
      <c r="D33" s="50"/>
      <c r="E33" s="56"/>
      <c r="F33" s="53"/>
      <c r="G33" s="55"/>
      <c r="H33" s="70"/>
      <c r="I33" s="55"/>
      <c r="J33" s="50"/>
      <c r="K33" s="50"/>
    </row>
    <row r="34" ht="15.75" customHeight="1" spans="1:11" s="1" customFormat="1" x14ac:dyDescent="0.25">
      <c r="A34" s="66"/>
      <c r="B34" s="57"/>
      <c r="C34" s="57"/>
      <c r="D34" s="57"/>
      <c r="E34" s="63"/>
      <c r="F34" s="60"/>
      <c r="G34" s="62"/>
      <c r="H34" s="71"/>
      <c r="I34" s="62"/>
      <c r="J34" s="57"/>
      <c r="K34" s="57"/>
    </row>
    <row r="35" ht="15.75" customHeight="1" spans="1:11" s="1" customFormat="1" x14ac:dyDescent="0.25">
      <c r="A35" s="67"/>
      <c r="B35" s="50"/>
      <c r="C35" s="50"/>
      <c r="D35" s="50"/>
      <c r="E35" s="56"/>
      <c r="F35" s="53"/>
      <c r="G35" s="55"/>
      <c r="H35" s="70"/>
      <c r="I35" s="55"/>
      <c r="J35" s="50"/>
      <c r="K35" s="50"/>
    </row>
    <row r="36" ht="15.75" customHeight="1" spans="1:11" s="1" customFormat="1" x14ac:dyDescent="0.25">
      <c r="A36" s="66"/>
      <c r="B36" s="57"/>
      <c r="C36" s="57"/>
      <c r="D36" s="57"/>
      <c r="E36" s="63"/>
      <c r="F36" s="60"/>
      <c r="G36" s="62"/>
      <c r="H36" s="71"/>
      <c r="I36" s="62"/>
      <c r="J36" s="57"/>
      <c r="K36" s="57"/>
    </row>
    <row r="37" ht="15.75" customHeight="1" spans="1:11" s="1" customFormat="1" x14ac:dyDescent="0.25">
      <c r="A37" s="67"/>
      <c r="B37" s="50"/>
      <c r="C37" s="50"/>
      <c r="D37" s="50"/>
      <c r="E37" s="56"/>
      <c r="F37" s="53"/>
      <c r="G37" s="55"/>
      <c r="H37" s="70"/>
      <c r="I37" s="55"/>
      <c r="J37" s="50"/>
      <c r="K37" s="50"/>
    </row>
    <row r="38" ht="15.75" customHeight="1" spans="1:11" s="1" customFormat="1" x14ac:dyDescent="0.25">
      <c r="A38" s="66"/>
      <c r="B38" s="57"/>
      <c r="C38" s="57"/>
      <c r="D38" s="57"/>
      <c r="E38" s="63"/>
      <c r="F38" s="60"/>
      <c r="G38" s="62"/>
      <c r="H38" s="71"/>
      <c r="I38" s="62"/>
      <c r="J38" s="57"/>
      <c r="K38" s="57"/>
    </row>
    <row r="39" ht="15.75" customHeight="1" spans="1:11" s="1" customFormat="1" x14ac:dyDescent="0.25">
      <c r="A39" s="67"/>
      <c r="B39" s="50"/>
      <c r="C39" s="50"/>
      <c r="D39" s="50"/>
      <c r="E39" s="56"/>
      <c r="F39" s="53"/>
      <c r="G39" s="55"/>
      <c r="H39" s="70"/>
      <c r="I39" s="55"/>
      <c r="J39" s="50"/>
      <c r="K39" s="50"/>
    </row>
    <row r="40" ht="15.75" customHeight="1" spans="1:11" s="1" customFormat="1" x14ac:dyDescent="0.25">
      <c r="A40" s="66"/>
      <c r="B40" s="57"/>
      <c r="C40" s="57"/>
      <c r="D40" s="57"/>
      <c r="E40" s="63"/>
      <c r="F40" s="60"/>
      <c r="G40" s="62"/>
      <c r="H40" s="71"/>
      <c r="I40" s="62"/>
      <c r="J40" s="57"/>
      <c r="K40" s="57"/>
    </row>
    <row r="41" ht="15.75" customHeight="1" spans="1:11" s="1" customFormat="1" x14ac:dyDescent="0.25">
      <c r="A41" s="67"/>
      <c r="B41" s="50"/>
      <c r="C41" s="50"/>
      <c r="D41" s="50"/>
      <c r="E41" s="56"/>
      <c r="F41" s="53"/>
      <c r="G41" s="55"/>
      <c r="H41" s="70"/>
      <c r="I41" s="55"/>
      <c r="J41" s="50"/>
      <c r="K41" s="50"/>
    </row>
    <row r="42" ht="15.75" customHeight="1" spans="1:11" s="1" customFormat="1" x14ac:dyDescent="0.25">
      <c r="A42" s="66"/>
      <c r="B42" s="57"/>
      <c r="C42" s="57"/>
      <c r="D42" s="57"/>
      <c r="E42" s="63"/>
      <c r="F42" s="60"/>
      <c r="G42" s="62"/>
      <c r="H42" s="71"/>
      <c r="I42" s="62"/>
      <c r="J42" s="57"/>
      <c r="K42" s="57"/>
    </row>
    <row r="43" ht="15.75" customHeight="1" spans="1:11" s="1" customFormat="1" x14ac:dyDescent="0.25">
      <c r="A43" s="67"/>
      <c r="B43" s="50"/>
      <c r="C43" s="50"/>
      <c r="D43" s="50"/>
      <c r="E43" s="56"/>
      <c r="F43" s="53"/>
      <c r="G43" s="55"/>
      <c r="H43" s="70"/>
      <c r="I43" s="55"/>
      <c r="J43" s="50"/>
      <c r="K43" s="50"/>
    </row>
    <row r="44" ht="15.75" customHeight="1" spans="1:11" s="1" customFormat="1" x14ac:dyDescent="0.25">
      <c r="A44" s="66"/>
      <c r="B44" s="57"/>
      <c r="C44" s="57"/>
      <c r="D44" s="57"/>
      <c r="E44" s="63"/>
      <c r="F44" s="60"/>
      <c r="G44" s="62"/>
      <c r="H44" s="71"/>
      <c r="I44" s="62"/>
      <c r="J44" s="57"/>
      <c r="K44" s="57"/>
    </row>
    <row r="45" ht="15.75" customHeight="1" spans="1:11" s="1" customFormat="1" x14ac:dyDescent="0.25">
      <c r="A45" s="67"/>
      <c r="B45" s="50"/>
      <c r="C45" s="50"/>
      <c r="D45" s="50"/>
      <c r="E45" s="56"/>
      <c r="F45" s="53"/>
      <c r="G45" s="55"/>
      <c r="H45" s="70"/>
      <c r="I45" s="55"/>
      <c r="J45" s="50"/>
      <c r="K45" s="50"/>
    </row>
    <row r="46" ht="15.75" customHeight="1" spans="1:11" s="1" customFormat="1" x14ac:dyDescent="0.25">
      <c r="A46" s="66"/>
      <c r="B46" s="57"/>
      <c r="C46" s="57"/>
      <c r="D46" s="57"/>
      <c r="E46" s="63"/>
      <c r="F46" s="60"/>
      <c r="G46" s="62"/>
      <c r="H46" s="71"/>
      <c r="I46" s="62"/>
      <c r="J46" s="57"/>
      <c r="K46" s="57"/>
    </row>
    <row r="47" ht="15.75" customHeight="1" spans="1:11" s="1" customFormat="1" x14ac:dyDescent="0.25">
      <c r="A47" s="67"/>
      <c r="B47" s="50"/>
      <c r="C47" s="50"/>
      <c r="D47" s="50"/>
      <c r="E47" s="56"/>
      <c r="F47" s="53"/>
      <c r="G47" s="55"/>
      <c r="H47" s="70"/>
      <c r="I47" s="55"/>
      <c r="J47" s="50"/>
      <c r="K47" s="50"/>
    </row>
    <row r="48" ht="15.75" customHeight="1" spans="1:11" s="1" customFormat="1" x14ac:dyDescent="0.25">
      <c r="A48" s="66"/>
      <c r="B48" s="57"/>
      <c r="C48" s="57"/>
      <c r="D48" s="57"/>
      <c r="E48" s="63"/>
      <c r="F48" s="60"/>
      <c r="G48" s="62"/>
      <c r="H48" s="71"/>
      <c r="I48" s="62"/>
      <c r="J48" s="57"/>
      <c r="K48" s="57"/>
    </row>
    <row r="49" ht="15.75" customHeight="1" spans="1:11" s="1" customFormat="1" x14ac:dyDescent="0.25">
      <c r="A49" s="67"/>
      <c r="B49" s="50"/>
      <c r="C49" s="50"/>
      <c r="D49" s="50"/>
      <c r="E49" s="56"/>
      <c r="F49" s="53"/>
      <c r="G49" s="55"/>
      <c r="H49" s="70"/>
      <c r="I49" s="55"/>
      <c r="J49" s="50"/>
      <c r="K49" s="50"/>
    </row>
    <row r="50" ht="15.75" customHeight="1" spans="1:11" s="1" customFormat="1" x14ac:dyDescent="0.25">
      <c r="A50" s="66"/>
      <c r="B50" s="57"/>
      <c r="C50" s="57"/>
      <c r="D50" s="57"/>
      <c r="E50" s="63"/>
      <c r="F50" s="60"/>
      <c r="G50" s="62"/>
      <c r="H50" s="71"/>
      <c r="I50" s="62"/>
      <c r="J50" s="57"/>
      <c r="K50" s="57"/>
    </row>
    <row r="51" ht="15.75" customHeight="1" spans="1:11" s="1" customFormat="1" x14ac:dyDescent="0.25">
      <c r="A51" s="67"/>
      <c r="B51" s="50"/>
      <c r="C51" s="50"/>
      <c r="D51" s="50"/>
      <c r="E51" s="56"/>
      <c r="F51" s="53"/>
      <c r="G51" s="55"/>
      <c r="H51" s="70"/>
      <c r="I51" s="55"/>
      <c r="J51" s="50"/>
      <c r="K51" s="50"/>
    </row>
    <row r="52" ht="15.75" customHeight="1" spans="1:11" s="1" customFormat="1" x14ac:dyDescent="0.25">
      <c r="A52" s="66"/>
      <c r="B52" s="57"/>
      <c r="C52" s="57"/>
      <c r="D52" s="57"/>
      <c r="E52" s="63"/>
      <c r="F52" s="60"/>
      <c r="G52" s="62"/>
      <c r="H52" s="71"/>
      <c r="I52" s="62"/>
      <c r="J52" s="57"/>
      <c r="K52" s="57"/>
    </row>
    <row r="53" ht="15.75" customHeight="1" spans="1:11" s="1" customFormat="1" x14ac:dyDescent="0.25">
      <c r="A53" s="67"/>
      <c r="B53" s="50"/>
      <c r="C53" s="50"/>
      <c r="D53" s="50"/>
      <c r="E53" s="56"/>
      <c r="F53" s="53"/>
      <c r="G53" s="55"/>
      <c r="H53" s="70"/>
      <c r="I53" s="55"/>
      <c r="J53" s="50"/>
      <c r="K53" s="50"/>
    </row>
    <row r="54" ht="15.75" customHeight="1" spans="1:11" s="1" customFormat="1" x14ac:dyDescent="0.25">
      <c r="A54" s="66"/>
      <c r="B54" s="57"/>
      <c r="C54" s="57"/>
      <c r="D54" s="57"/>
      <c r="E54" s="63"/>
      <c r="F54" s="60"/>
      <c r="G54" s="62"/>
      <c r="H54" s="71"/>
      <c r="I54" s="62"/>
      <c r="J54" s="57"/>
      <c r="K54" s="57"/>
    </row>
    <row r="55" ht="15.75" customHeight="1" spans="1:11" s="1" customFormat="1" x14ac:dyDescent="0.25">
      <c r="A55" s="67"/>
      <c r="B55" s="50"/>
      <c r="C55" s="50"/>
      <c r="D55" s="50"/>
      <c r="E55" s="56"/>
      <c r="F55" s="53"/>
      <c r="G55" s="55"/>
      <c r="H55" s="70"/>
      <c r="I55" s="55"/>
      <c r="J55" s="50"/>
      <c r="K55" s="50"/>
    </row>
    <row r="56" ht="15.75" customHeight="1" spans="1:11" s="1" customFormat="1" x14ac:dyDescent="0.25">
      <c r="A56" s="66"/>
      <c r="B56" s="57"/>
      <c r="C56" s="57"/>
      <c r="D56" s="57"/>
      <c r="E56" s="63"/>
      <c r="F56" s="60"/>
      <c r="G56" s="62"/>
      <c r="H56" s="71"/>
      <c r="I56" s="62"/>
      <c r="J56" s="57"/>
      <c r="K56" s="57"/>
    </row>
    <row r="57" ht="15.75" customHeight="1" spans="1:11" s="1" customFormat="1" x14ac:dyDescent="0.25">
      <c r="A57" s="67"/>
      <c r="B57" s="50"/>
      <c r="C57" s="50"/>
      <c r="D57" s="50"/>
      <c r="E57" s="56"/>
      <c r="F57" s="53"/>
      <c r="G57" s="55"/>
      <c r="H57" s="70"/>
      <c r="I57" s="55"/>
      <c r="J57" s="50"/>
      <c r="K57" s="50"/>
    </row>
    <row r="58" ht="15.75" customHeight="1" spans="1:11" s="1" customFormat="1" x14ac:dyDescent="0.25">
      <c r="A58" s="66"/>
      <c r="B58" s="57"/>
      <c r="C58" s="57"/>
      <c r="D58" s="57"/>
      <c r="E58" s="63"/>
      <c r="F58" s="60"/>
      <c r="G58" s="62"/>
      <c r="H58" s="71"/>
      <c r="I58" s="62"/>
      <c r="J58" s="57"/>
      <c r="K58" s="57"/>
    </row>
    <row r="59" ht="15.75" customHeight="1" spans="1:11" s="1" customFormat="1" x14ac:dyDescent="0.25">
      <c r="A59" s="67"/>
      <c r="B59" s="50"/>
      <c r="C59" s="50"/>
      <c r="D59" s="50"/>
      <c r="E59" s="56"/>
      <c r="F59" s="53"/>
      <c r="G59" s="55"/>
      <c r="H59" s="70"/>
      <c r="I59" s="55"/>
      <c r="J59" s="50"/>
      <c r="K59" s="50"/>
    </row>
    <row r="60" ht="15.75" customHeight="1" spans="1:11" s="1" customFormat="1" x14ac:dyDescent="0.25">
      <c r="A60" s="66"/>
      <c r="B60" s="57"/>
      <c r="C60" s="57"/>
      <c r="D60" s="57"/>
      <c r="E60" s="63"/>
      <c r="F60" s="60"/>
      <c r="G60" s="62"/>
      <c r="H60" s="71"/>
      <c r="I60" s="62"/>
      <c r="J60" s="57"/>
      <c r="K60" s="57"/>
    </row>
    <row r="61" ht="15.75" customHeight="1" spans="1:11" s="1" customFormat="1" x14ac:dyDescent="0.25">
      <c r="A61" s="67"/>
      <c r="B61" s="50"/>
      <c r="C61" s="50"/>
      <c r="D61" s="50"/>
      <c r="E61" s="56"/>
      <c r="F61" s="53"/>
      <c r="G61" s="55"/>
      <c r="H61" s="70"/>
      <c r="I61" s="55"/>
      <c r="J61" s="50"/>
      <c r="K61" s="50"/>
    </row>
    <row r="62" ht="15.75" customHeight="1" spans="1:11" s="1" customFormat="1" x14ac:dyDescent="0.25">
      <c r="A62" s="66"/>
      <c r="B62" s="57"/>
      <c r="C62" s="57"/>
      <c r="D62" s="57"/>
      <c r="E62" s="63"/>
      <c r="F62" s="60"/>
      <c r="G62" s="62"/>
      <c r="H62" s="71"/>
      <c r="I62" s="62"/>
      <c r="J62" s="57"/>
      <c r="K62" s="57"/>
    </row>
    <row r="63" ht="15.75" customHeight="1" spans="1:11" s="1" customFormat="1" x14ac:dyDescent="0.25">
      <c r="A63" s="67"/>
      <c r="B63" s="50"/>
      <c r="C63" s="50"/>
      <c r="D63" s="50"/>
      <c r="E63" s="56"/>
      <c r="F63" s="53"/>
      <c r="G63" s="55"/>
      <c r="H63" s="70"/>
      <c r="I63" s="55"/>
      <c r="J63" s="50"/>
      <c r="K63" s="50"/>
    </row>
    <row r="64" ht="15.75" customHeight="1" spans="1:11" s="1" customFormat="1" x14ac:dyDescent="0.25">
      <c r="A64" s="66"/>
      <c r="B64" s="57"/>
      <c r="C64" s="57"/>
      <c r="D64" s="57"/>
      <c r="E64" s="63"/>
      <c r="F64" s="60"/>
      <c r="G64" s="62"/>
      <c r="H64" s="71"/>
      <c r="I64" s="62"/>
      <c r="J64" s="57"/>
      <c r="K64" s="57"/>
    </row>
    <row r="65" ht="15.75" customHeight="1" spans="1:11" s="1" customFormat="1" x14ac:dyDescent="0.25">
      <c r="A65" s="67"/>
      <c r="B65" s="50"/>
      <c r="C65" s="50"/>
      <c r="D65" s="50"/>
      <c r="E65" s="56"/>
      <c r="F65" s="53"/>
      <c r="G65" s="55"/>
      <c r="H65" s="70"/>
      <c r="I65" s="55"/>
      <c r="J65" s="50"/>
      <c r="K65" s="50"/>
    </row>
    <row r="66" ht="15.75" customHeight="1" spans="1:11" s="1" customFormat="1" x14ac:dyDescent="0.25">
      <c r="A66" s="66"/>
      <c r="B66" s="57"/>
      <c r="C66" s="57"/>
      <c r="D66" s="57"/>
      <c r="E66" s="63"/>
      <c r="F66" s="60"/>
      <c r="G66" s="62"/>
      <c r="H66" s="71"/>
      <c r="I66" s="62"/>
      <c r="J66" s="57"/>
      <c r="K66" s="57"/>
    </row>
    <row r="67" ht="15.75" customHeight="1" spans="1:11" s="1" customFormat="1" x14ac:dyDescent="0.25">
      <c r="A67" s="67"/>
      <c r="B67" s="50"/>
      <c r="C67" s="50"/>
      <c r="D67" s="50"/>
      <c r="E67" s="56"/>
      <c r="F67" s="53"/>
      <c r="G67" s="55"/>
      <c r="H67" s="70"/>
      <c r="I67" s="55"/>
      <c r="J67" s="50"/>
      <c r="K67" s="50"/>
    </row>
    <row r="68" ht="15.75" customHeight="1" spans="1:11" s="1" customFormat="1" x14ac:dyDescent="0.25">
      <c r="A68" s="66"/>
      <c r="B68" s="57"/>
      <c r="C68" s="57"/>
      <c r="D68" s="57"/>
      <c r="E68" s="63"/>
      <c r="F68" s="60"/>
      <c r="G68" s="62"/>
      <c r="H68" s="71"/>
      <c r="I68" s="62"/>
      <c r="J68" s="57"/>
      <c r="K68" s="57"/>
    </row>
    <row r="69" ht="15.75" customHeight="1" spans="1:11" s="1" customFormat="1" x14ac:dyDescent="0.25">
      <c r="A69" s="67"/>
      <c r="B69" s="50"/>
      <c r="C69" s="50"/>
      <c r="D69" s="50"/>
      <c r="E69" s="56"/>
      <c r="F69" s="53"/>
      <c r="G69" s="55"/>
      <c r="H69" s="70"/>
      <c r="I69" s="55"/>
      <c r="J69" s="50"/>
      <c r="K69" s="50"/>
    </row>
    <row r="70" ht="15.75" customHeight="1" spans="1:11" s="1" customFormat="1" x14ac:dyDescent="0.25">
      <c r="A70" s="66"/>
      <c r="B70" s="57"/>
      <c r="C70" s="57"/>
      <c r="D70" s="57"/>
      <c r="E70" s="63"/>
      <c r="F70" s="60"/>
      <c r="G70" s="62"/>
      <c r="H70" s="71"/>
      <c r="I70" s="62"/>
      <c r="J70" s="57"/>
      <c r="K70" s="57"/>
    </row>
    <row r="71" ht="15.75" customHeight="1" spans="1:11" s="1" customFormat="1" x14ac:dyDescent="0.25">
      <c r="A71" s="67"/>
      <c r="B71" s="50"/>
      <c r="C71" s="50"/>
      <c r="D71" s="50"/>
      <c r="E71" s="56"/>
      <c r="F71" s="53"/>
      <c r="G71" s="55"/>
      <c r="H71" s="70"/>
      <c r="I71" s="55"/>
      <c r="J71" s="50"/>
      <c r="K71" s="50"/>
    </row>
    <row r="72" ht="15.75" customHeight="1" spans="1:11" s="1" customFormat="1" x14ac:dyDescent="0.25">
      <c r="A72" s="66"/>
      <c r="B72" s="57"/>
      <c r="C72" s="57"/>
      <c r="D72" s="57"/>
      <c r="E72" s="63"/>
      <c r="F72" s="60"/>
      <c r="G72" s="62"/>
      <c r="H72" s="71"/>
      <c r="I72" s="62"/>
      <c r="J72" s="57"/>
      <c r="K72" s="57"/>
    </row>
    <row r="73" ht="15.75" customHeight="1" spans="1:11" s="1" customFormat="1" x14ac:dyDescent="0.25">
      <c r="A73" s="67"/>
      <c r="B73" s="50"/>
      <c r="C73" s="50"/>
      <c r="D73" s="50"/>
      <c r="E73" s="56"/>
      <c r="F73" s="53"/>
      <c r="G73" s="55"/>
      <c r="H73" s="70"/>
      <c r="I73" s="55"/>
      <c r="J73" s="50"/>
      <c r="K73" s="50"/>
    </row>
    <row r="74" ht="15.75" customHeight="1" spans="1:11" s="1" customFormat="1" x14ac:dyDescent="0.25">
      <c r="A74" s="66"/>
      <c r="B74" s="57"/>
      <c r="C74" s="57"/>
      <c r="D74" s="57"/>
      <c r="E74" s="63"/>
      <c r="F74" s="60"/>
      <c r="G74" s="62"/>
      <c r="H74" s="71"/>
      <c r="I74" s="62"/>
      <c r="J74" s="57"/>
      <c r="K74" s="57"/>
    </row>
    <row r="75" ht="15.75" customHeight="1" spans="1:11" s="1" customFormat="1" x14ac:dyDescent="0.25">
      <c r="A75" s="67"/>
      <c r="B75" s="50"/>
      <c r="C75" s="50"/>
      <c r="D75" s="50"/>
      <c r="E75" s="56"/>
      <c r="F75" s="53"/>
      <c r="G75" s="55"/>
      <c r="H75" s="70"/>
      <c r="I75" s="55"/>
      <c r="J75" s="50"/>
      <c r="K75" s="50"/>
    </row>
    <row r="76" ht="15.75" customHeight="1" spans="1:11" s="1" customFormat="1" x14ac:dyDescent="0.25">
      <c r="A76" s="66"/>
      <c r="B76" s="57"/>
      <c r="C76" s="57"/>
      <c r="D76" s="57"/>
      <c r="E76" s="63"/>
      <c r="F76" s="60"/>
      <c r="G76" s="62"/>
      <c r="H76" s="71"/>
      <c r="I76" s="62"/>
      <c r="J76" s="57"/>
      <c r="K76" s="57"/>
    </row>
    <row r="77" ht="15.75" customHeight="1" spans="1:11" s="1" customFormat="1" x14ac:dyDescent="0.25">
      <c r="A77" s="67"/>
      <c r="B77" s="50"/>
      <c r="C77" s="50"/>
      <c r="D77" s="50"/>
      <c r="E77" s="56"/>
      <c r="F77" s="53"/>
      <c r="G77" s="55"/>
      <c r="H77" s="70"/>
      <c r="I77" s="55"/>
      <c r="J77" s="50"/>
      <c r="K77" s="50"/>
    </row>
    <row r="78" ht="15.75" customHeight="1" spans="1:11" s="1" customFormat="1" x14ac:dyDescent="0.25">
      <c r="A78" s="66"/>
      <c r="B78" s="57"/>
      <c r="C78" s="57"/>
      <c r="D78" s="57"/>
      <c r="E78" s="63"/>
      <c r="F78" s="60"/>
      <c r="G78" s="62"/>
      <c r="H78" s="71"/>
      <c r="I78" s="62"/>
      <c r="J78" s="57"/>
      <c r="K78" s="57"/>
    </row>
    <row r="79" ht="15.75" customHeight="1" spans="1:11" s="1" customFormat="1" x14ac:dyDescent="0.25">
      <c r="A79" s="67"/>
      <c r="B79" s="50"/>
      <c r="C79" s="50"/>
      <c r="D79" s="50"/>
      <c r="E79" s="56"/>
      <c r="F79" s="53"/>
      <c r="G79" s="55"/>
      <c r="H79" s="70"/>
      <c r="I79" s="55"/>
      <c r="J79" s="50"/>
      <c r="K79" s="50"/>
    </row>
    <row r="80" ht="15.75" customHeight="1" spans="1:11" s="1" customFormat="1" x14ac:dyDescent="0.25">
      <c r="A80" s="66"/>
      <c r="B80" s="57"/>
      <c r="C80" s="57"/>
      <c r="D80" s="57"/>
      <c r="E80" s="63"/>
      <c r="F80" s="60"/>
      <c r="G80" s="62"/>
      <c r="H80" s="71"/>
      <c r="I80" s="62"/>
      <c r="J80" s="57"/>
      <c r="K80" s="57"/>
    </row>
    <row r="81" ht="15.75" customHeight="1" spans="1:11" s="1" customFormat="1" x14ac:dyDescent="0.25">
      <c r="A81" s="67"/>
      <c r="B81" s="50"/>
      <c r="C81" s="50"/>
      <c r="D81" s="50"/>
      <c r="E81" s="56"/>
      <c r="F81" s="53"/>
      <c r="G81" s="55"/>
      <c r="H81" s="70"/>
      <c r="I81" s="55"/>
      <c r="J81" s="50"/>
      <c r="K81" s="50"/>
    </row>
    <row r="82" ht="15.75" customHeight="1" spans="1:11" s="1" customFormat="1" x14ac:dyDescent="0.25">
      <c r="A82" s="66"/>
      <c r="B82" s="57"/>
      <c r="C82" s="57"/>
      <c r="D82" s="57"/>
      <c r="E82" s="63"/>
      <c r="F82" s="60"/>
      <c r="G82" s="62"/>
      <c r="H82" s="71"/>
      <c r="I82" s="62"/>
      <c r="J82" s="57"/>
      <c r="K82" s="57"/>
    </row>
    <row r="83" ht="15.75" customHeight="1" spans="1:11" s="1" customFormat="1" x14ac:dyDescent="0.25">
      <c r="A83" s="67"/>
      <c r="B83" s="50"/>
      <c r="C83" s="50"/>
      <c r="D83" s="50"/>
      <c r="E83" s="56"/>
      <c r="F83" s="53"/>
      <c r="G83" s="55"/>
      <c r="H83" s="70"/>
      <c r="I83" s="55"/>
      <c r="J83" s="50"/>
      <c r="K83" s="50"/>
    </row>
    <row r="84" ht="15.75" customHeight="1" spans="1:11" s="1" customFormat="1" x14ac:dyDescent="0.25">
      <c r="A84" s="66"/>
      <c r="B84" s="57"/>
      <c r="C84" s="57"/>
      <c r="D84" s="57"/>
      <c r="E84" s="63"/>
      <c r="F84" s="60"/>
      <c r="G84" s="62"/>
      <c r="H84" s="71"/>
      <c r="I84" s="62"/>
      <c r="J84" s="57"/>
      <c r="K84" s="57"/>
    </row>
    <row r="85" ht="15.75" customHeight="1" spans="1:11" s="1" customFormat="1" x14ac:dyDescent="0.25">
      <c r="A85" s="67"/>
      <c r="B85" s="50"/>
      <c r="C85" s="50"/>
      <c r="D85" s="50"/>
      <c r="E85" s="56"/>
      <c r="F85" s="53"/>
      <c r="G85" s="55"/>
      <c r="H85" s="70"/>
      <c r="I85" s="55"/>
      <c r="J85" s="50"/>
      <c r="K85" s="50"/>
    </row>
    <row r="86" ht="15.75" customHeight="1" spans="1:11" s="1" customFormat="1" x14ac:dyDescent="0.25">
      <c r="A86" s="66"/>
      <c r="B86" s="57"/>
      <c r="C86" s="57"/>
      <c r="D86" s="57"/>
      <c r="E86" s="63"/>
      <c r="F86" s="60"/>
      <c r="G86" s="62"/>
      <c r="H86" s="71"/>
      <c r="I86" s="62"/>
      <c r="J86" s="57"/>
      <c r="K86" s="57"/>
    </row>
    <row r="87" ht="15.75" customHeight="1" spans="1:11" s="1" customFormat="1" x14ac:dyDescent="0.25">
      <c r="A87" s="67"/>
      <c r="B87" s="50"/>
      <c r="C87" s="50"/>
      <c r="D87" s="50"/>
      <c r="E87" s="56"/>
      <c r="F87" s="53"/>
      <c r="G87" s="55"/>
      <c r="H87" s="70"/>
      <c r="I87" s="55"/>
      <c r="J87" s="50"/>
      <c r="K87" s="50"/>
    </row>
    <row r="88" ht="15.75" customHeight="1" spans="1:11" s="1" customFormat="1" x14ac:dyDescent="0.25">
      <c r="A88" s="66"/>
      <c r="B88" s="57"/>
      <c r="C88" s="57"/>
      <c r="D88" s="57"/>
      <c r="E88" s="63"/>
      <c r="F88" s="60"/>
      <c r="G88" s="62"/>
      <c r="H88" s="71"/>
      <c r="I88" s="62"/>
      <c r="J88" s="57"/>
      <c r="K88" s="57"/>
    </row>
    <row r="89" ht="15.75" customHeight="1" spans="1:11" s="1" customFormat="1" x14ac:dyDescent="0.25">
      <c r="A89" s="67"/>
      <c r="B89" s="50"/>
      <c r="C89" s="50"/>
      <c r="D89" s="50"/>
      <c r="E89" s="56"/>
      <c r="F89" s="53"/>
      <c r="G89" s="55"/>
      <c r="H89" s="70"/>
      <c r="I89" s="55"/>
      <c r="J89" s="50"/>
      <c r="K89" s="50"/>
    </row>
    <row r="90" ht="15.75" customHeight="1" spans="1:11" s="1" customFormat="1" x14ac:dyDescent="0.25">
      <c r="A90" s="66"/>
      <c r="B90" s="57"/>
      <c r="C90" s="57"/>
      <c r="D90" s="57"/>
      <c r="E90" s="63"/>
      <c r="F90" s="60"/>
      <c r="G90" s="62"/>
      <c r="H90" s="71"/>
      <c r="I90" s="62"/>
      <c r="J90" s="57"/>
      <c r="K90" s="57"/>
    </row>
    <row r="91" ht="15.75" customHeight="1" spans="1:11" s="1" customFormat="1" x14ac:dyDescent="0.25">
      <c r="A91" s="67"/>
      <c r="B91" s="50"/>
      <c r="C91" s="50"/>
      <c r="D91" s="50"/>
      <c r="E91" s="56"/>
      <c r="F91" s="53"/>
      <c r="G91" s="55"/>
      <c r="H91" s="70"/>
      <c r="I91" s="55"/>
      <c r="J91" s="50"/>
      <c r="K91" s="50"/>
    </row>
    <row r="92" ht="15.75" customHeight="1" spans="1:11" s="1" customFormat="1" x14ac:dyDescent="0.25">
      <c r="A92" s="66"/>
      <c r="B92" s="57"/>
      <c r="C92" s="57"/>
      <c r="D92" s="57"/>
      <c r="E92" s="63"/>
      <c r="F92" s="60"/>
      <c r="G92" s="62"/>
      <c r="H92" s="71"/>
      <c r="I92" s="62"/>
      <c r="J92" s="57"/>
      <c r="K92" s="57"/>
    </row>
    <row r="93" ht="15.75" customHeight="1" spans="1:11" s="1" customFormat="1" x14ac:dyDescent="0.25">
      <c r="A93" s="67"/>
      <c r="B93" s="50"/>
      <c r="C93" s="50"/>
      <c r="D93" s="50"/>
      <c r="E93" s="56"/>
      <c r="F93" s="53"/>
      <c r="G93" s="55"/>
      <c r="H93" s="70"/>
      <c r="I93" s="55"/>
      <c r="J93" s="50"/>
      <c r="K93" s="50"/>
    </row>
    <row r="94" ht="15.75" customHeight="1" spans="1:11" s="1" customFormat="1" x14ac:dyDescent="0.25">
      <c r="A94" s="66"/>
      <c r="B94" s="57"/>
      <c r="C94" s="57"/>
      <c r="D94" s="57"/>
      <c r="E94" s="63"/>
      <c r="F94" s="60"/>
      <c r="G94" s="62"/>
      <c r="H94" s="71"/>
      <c r="I94" s="62"/>
      <c r="J94" s="57"/>
      <c r="K94" s="57"/>
    </row>
    <row r="95" ht="15.75" customHeight="1" spans="1:11" s="1" customFormat="1" x14ac:dyDescent="0.25">
      <c r="A95" s="67"/>
      <c r="B95" s="50"/>
      <c r="C95" s="50"/>
      <c r="D95" s="50"/>
      <c r="E95" s="56"/>
      <c r="F95" s="53"/>
      <c r="G95" s="55"/>
      <c r="H95" s="70"/>
      <c r="I95" s="55"/>
      <c r="J95" s="50"/>
      <c r="K95" s="50"/>
    </row>
    <row r="96" ht="15.75" customHeight="1" spans="1:11" s="1" customFormat="1" x14ac:dyDescent="0.25">
      <c r="A96" s="66"/>
      <c r="B96" s="57"/>
      <c r="C96" s="57"/>
      <c r="D96" s="57"/>
      <c r="E96" s="63"/>
      <c r="F96" s="60"/>
      <c r="G96" s="62"/>
      <c r="H96" s="71"/>
      <c r="I96" s="62"/>
      <c r="J96" s="57"/>
      <c r="K96" s="57"/>
    </row>
    <row r="97" ht="15.75" customHeight="1" spans="1:11" s="1" customFormat="1" x14ac:dyDescent="0.25">
      <c r="A97" s="67"/>
      <c r="B97" s="50"/>
      <c r="C97" s="50"/>
      <c r="D97" s="50"/>
      <c r="E97" s="56"/>
      <c r="F97" s="53"/>
      <c r="G97" s="55"/>
      <c r="H97" s="70"/>
      <c r="I97" s="55"/>
      <c r="J97" s="50"/>
      <c r="K97" s="50"/>
    </row>
    <row r="98" ht="15.75" customHeight="1" spans="1:11" s="1" customFormat="1" x14ac:dyDescent="0.25">
      <c r="A98" s="66"/>
      <c r="B98" s="57"/>
      <c r="C98" s="57"/>
      <c r="D98" s="57"/>
      <c r="E98" s="63"/>
      <c r="F98" s="60"/>
      <c r="G98" s="62"/>
      <c r="H98" s="71"/>
      <c r="I98" s="62"/>
      <c r="J98" s="57"/>
      <c r="K98" s="57"/>
    </row>
    <row r="99" ht="15.75" customHeight="1" spans="1:11" s="1" customFormat="1" x14ac:dyDescent="0.25">
      <c r="A99" s="67"/>
      <c r="B99" s="50"/>
      <c r="C99" s="50"/>
      <c r="D99" s="50"/>
      <c r="E99" s="56"/>
      <c r="F99" s="53"/>
      <c r="G99" s="55"/>
      <c r="H99" s="70"/>
      <c r="I99" s="55"/>
      <c r="J99" s="50"/>
      <c r="K99" s="50"/>
    </row>
    <row r="100" ht="15.75" customHeight="1" spans="1:11" s="1" customFormat="1" x14ac:dyDescent="0.25">
      <c r="A100" s="66"/>
      <c r="B100" s="57"/>
      <c r="C100" s="57"/>
      <c r="D100" s="57"/>
      <c r="E100" s="63"/>
      <c r="F100" s="60"/>
      <c r="G100" s="62"/>
      <c r="H100" s="71"/>
      <c r="I100" s="62"/>
      <c r="J100" s="57"/>
      <c r="K100" s="57"/>
    </row>
    <row r="101" ht="15.75" customHeight="1" spans="1:11" s="1" customFormat="1" x14ac:dyDescent="0.25">
      <c r="A101" s="67"/>
      <c r="B101" s="50"/>
      <c r="C101" s="50"/>
      <c r="D101" s="50"/>
      <c r="E101" s="56"/>
      <c r="F101" s="53"/>
      <c r="G101" s="55"/>
      <c r="H101" s="70"/>
      <c r="I101" s="55"/>
      <c r="J101" s="50"/>
      <c r="K101" s="50"/>
    </row>
    <row r="102" ht="15.75" customHeight="1" spans="1:11" s="1" customFormat="1" x14ac:dyDescent="0.25">
      <c r="A102" s="66"/>
      <c r="B102" s="57"/>
      <c r="C102" s="57"/>
      <c r="D102" s="57"/>
      <c r="E102" s="63"/>
      <c r="F102" s="60"/>
      <c r="G102" s="62"/>
      <c r="H102" s="71"/>
      <c r="I102" s="62"/>
      <c r="J102" s="57"/>
      <c r="K102" s="57"/>
    </row>
    <row r="103" ht="15.75" customHeight="1" spans="1:11" s="1" customFormat="1" x14ac:dyDescent="0.25">
      <c r="A103" s="67"/>
      <c r="B103" s="50"/>
      <c r="C103" s="50"/>
      <c r="D103" s="50"/>
      <c r="E103" s="56"/>
      <c r="F103" s="53"/>
      <c r="G103" s="55"/>
      <c r="H103" s="70"/>
      <c r="I103" s="55"/>
      <c r="J103" s="50"/>
      <c r="K103" s="50"/>
    </row>
    <row r="104" ht="15.75" customHeight="1" spans="1:11" s="1" customFormat="1" x14ac:dyDescent="0.25">
      <c r="A104" s="66"/>
      <c r="B104" s="57"/>
      <c r="C104" s="57"/>
      <c r="D104" s="57"/>
      <c r="E104" s="63"/>
      <c r="F104" s="60"/>
      <c r="G104" s="62"/>
      <c r="H104" s="71"/>
      <c r="I104" s="62"/>
      <c r="J104" s="57"/>
      <c r="K104" s="57"/>
    </row>
    <row r="105" ht="15.75" customHeight="1" spans="1:11" s="1" customFormat="1" x14ac:dyDescent="0.25">
      <c r="A105" s="67"/>
      <c r="B105" s="50"/>
      <c r="C105" s="50"/>
      <c r="D105" s="50"/>
      <c r="E105" s="56"/>
      <c r="F105" s="53"/>
      <c r="G105" s="55"/>
      <c r="H105" s="70"/>
      <c r="I105" s="55"/>
      <c r="J105" s="50"/>
      <c r="K105" s="50"/>
    </row>
    <row r="106" ht="15.75" customHeight="1" spans="1:11" s="1" customFormat="1" x14ac:dyDescent="0.25">
      <c r="A106" s="66"/>
      <c r="B106" s="57"/>
      <c r="C106" s="57"/>
      <c r="D106" s="57"/>
      <c r="E106" s="63"/>
      <c r="F106" s="60"/>
      <c r="G106" s="62"/>
      <c r="H106" s="71"/>
      <c r="I106" s="62"/>
      <c r="J106" s="57"/>
      <c r="K106" s="57"/>
    </row>
    <row r="107" ht="15.75" customHeight="1" spans="1:11" s="1" customFormat="1" x14ac:dyDescent="0.25">
      <c r="A107" s="67"/>
      <c r="B107" s="50"/>
      <c r="C107" s="50"/>
      <c r="D107" s="50"/>
      <c r="E107" s="56"/>
      <c r="F107" s="53"/>
      <c r="G107" s="55"/>
      <c r="H107" s="70"/>
      <c r="I107" s="55"/>
      <c r="J107" s="50"/>
      <c r="K107" s="50"/>
    </row>
    <row r="108" ht="15.75" customHeight="1" spans="1:11" s="1" customFormat="1" x14ac:dyDescent="0.25">
      <c r="A108" s="66"/>
      <c r="B108" s="57"/>
      <c r="C108" s="57"/>
      <c r="D108" s="57"/>
      <c r="E108" s="63"/>
      <c r="F108" s="60"/>
      <c r="G108" s="62"/>
      <c r="H108" s="71"/>
      <c r="I108" s="62"/>
      <c r="J108" s="57"/>
      <c r="K108" s="57"/>
    </row>
    <row r="109" ht="15.75" customHeight="1" spans="1:11" s="1" customFormat="1" x14ac:dyDescent="0.25">
      <c r="A109" s="67"/>
      <c r="B109" s="50"/>
      <c r="C109" s="50"/>
      <c r="D109" s="50"/>
      <c r="E109" s="56"/>
      <c r="F109" s="53"/>
      <c r="G109" s="55"/>
      <c r="H109" s="70"/>
      <c r="I109" s="55"/>
      <c r="J109" s="50"/>
      <c r="K109" s="50"/>
    </row>
    <row r="110" ht="15.75" customHeight="1" spans="1:11" s="1" customFormat="1" x14ac:dyDescent="0.25">
      <c r="A110" s="66"/>
      <c r="B110" s="57"/>
      <c r="C110" s="57"/>
      <c r="D110" s="57"/>
      <c r="E110" s="63"/>
      <c r="F110" s="60"/>
      <c r="G110" s="62"/>
      <c r="H110" s="71"/>
      <c r="I110" s="62"/>
      <c r="J110" s="57"/>
      <c r="K110" s="57"/>
    </row>
    <row r="111" ht="15.75" customHeight="1" spans="1:11" s="1" customFormat="1" x14ac:dyDescent="0.25">
      <c r="A111" s="67"/>
      <c r="B111" s="50"/>
      <c r="C111" s="50"/>
      <c r="D111" s="50"/>
      <c r="E111" s="56"/>
      <c r="F111" s="53"/>
      <c r="G111" s="55"/>
      <c r="H111" s="70"/>
      <c r="I111" s="55"/>
      <c r="J111" s="50"/>
      <c r="K111" s="50"/>
    </row>
    <row r="112" ht="15.75" customHeight="1" spans="1:11" s="1" customFormat="1" x14ac:dyDescent="0.25">
      <c r="A112" s="66"/>
      <c r="B112" s="57"/>
      <c r="C112" s="57"/>
      <c r="D112" s="57"/>
      <c r="E112" s="63"/>
      <c r="F112" s="60"/>
      <c r="G112" s="62"/>
      <c r="H112" s="71"/>
      <c r="I112" s="62"/>
      <c r="J112" s="57"/>
      <c r="K112" s="57"/>
    </row>
    <row r="113" ht="15.75" customHeight="1" spans="1:11" s="1" customFormat="1" x14ac:dyDescent="0.25">
      <c r="A113" s="67"/>
      <c r="B113" s="50"/>
      <c r="C113" s="50"/>
      <c r="D113" s="50"/>
      <c r="E113" s="56"/>
      <c r="F113" s="53"/>
      <c r="G113" s="55"/>
      <c r="H113" s="70"/>
      <c r="I113" s="55"/>
      <c r="J113" s="50"/>
      <c r="K113" s="50"/>
    </row>
    <row r="114" ht="15.75" customHeight="1" spans="1:11" s="1" customFormat="1" x14ac:dyDescent="0.25">
      <c r="A114" s="66"/>
      <c r="B114" s="57"/>
      <c r="C114" s="57"/>
      <c r="D114" s="57"/>
      <c r="E114" s="63"/>
      <c r="F114" s="60"/>
      <c r="G114" s="62"/>
      <c r="H114" s="71"/>
      <c r="I114" s="62"/>
      <c r="J114" s="57"/>
      <c r="K114" s="57"/>
    </row>
    <row r="115" ht="15.75" customHeight="1" spans="1:11" s="1" customFormat="1" x14ac:dyDescent="0.25">
      <c r="A115" s="67"/>
      <c r="B115" s="50"/>
      <c r="C115" s="50"/>
      <c r="D115" s="50"/>
      <c r="E115" s="56"/>
      <c r="F115" s="53"/>
      <c r="G115" s="55"/>
      <c r="H115" s="70"/>
      <c r="I115" s="55"/>
      <c r="J115" s="50"/>
      <c r="K115" s="50"/>
    </row>
    <row r="116" ht="15.75" customHeight="1" spans="1:11" s="1" customFormat="1" x14ac:dyDescent="0.25">
      <c r="A116" s="66"/>
      <c r="B116" s="57"/>
      <c r="C116" s="57"/>
      <c r="D116" s="57"/>
      <c r="E116" s="63"/>
      <c r="F116" s="60"/>
      <c r="G116" s="62"/>
      <c r="H116" s="71"/>
      <c r="I116" s="62"/>
      <c r="J116" s="57"/>
      <c r="K116" s="57"/>
    </row>
    <row r="117" ht="15.75" customHeight="1" spans="1:11" s="1" customFormat="1" x14ac:dyDescent="0.25">
      <c r="A117" s="67"/>
      <c r="B117" s="50"/>
      <c r="C117" s="50"/>
      <c r="D117" s="50"/>
      <c r="E117" s="56"/>
      <c r="F117" s="53"/>
      <c r="G117" s="55"/>
      <c r="H117" s="70"/>
      <c r="I117" s="55"/>
      <c r="J117" s="50"/>
      <c r="K117" s="50"/>
    </row>
    <row r="118" ht="15.75" customHeight="1" spans="1:11" s="1" customFormat="1" x14ac:dyDescent="0.25">
      <c r="A118" s="66"/>
      <c r="B118" s="57"/>
      <c r="C118" s="57"/>
      <c r="D118" s="57"/>
      <c r="E118" s="63"/>
      <c r="F118" s="60"/>
      <c r="G118" s="62"/>
      <c r="H118" s="71"/>
      <c r="I118" s="62"/>
      <c r="J118" s="57"/>
      <c r="K118" s="57"/>
    </row>
    <row r="119" ht="15.75" customHeight="1" spans="1:11" s="1" customFormat="1" x14ac:dyDescent="0.25">
      <c r="A119" s="67"/>
      <c r="B119" s="50"/>
      <c r="C119" s="50"/>
      <c r="D119" s="50"/>
      <c r="E119" s="56"/>
      <c r="F119" s="53"/>
      <c r="G119" s="55"/>
      <c r="H119" s="70"/>
      <c r="I119" s="55"/>
      <c r="J119" s="50"/>
      <c r="K119" s="50"/>
    </row>
    <row r="120" ht="15.75" customHeight="1" spans="1:11" s="1" customFormat="1" x14ac:dyDescent="0.25">
      <c r="A120" s="66"/>
      <c r="B120" s="57"/>
      <c r="C120" s="57"/>
      <c r="D120" s="57"/>
      <c r="E120" s="63"/>
      <c r="F120" s="60"/>
      <c r="G120" s="62"/>
      <c r="H120" s="71"/>
      <c r="I120" s="62"/>
      <c r="J120" s="57"/>
      <c r="K120" s="57"/>
    </row>
    <row r="121" ht="15.75" customHeight="1" spans="1:11" s="1" customFormat="1" x14ac:dyDescent="0.25">
      <c r="A121" s="67"/>
      <c r="B121" s="50"/>
      <c r="C121" s="50"/>
      <c r="D121" s="50"/>
      <c r="E121" s="56"/>
      <c r="F121" s="53"/>
      <c r="G121" s="55"/>
      <c r="H121" s="70"/>
      <c r="I121" s="55"/>
      <c r="J121" s="50"/>
      <c r="K121" s="50"/>
    </row>
    <row r="122" ht="15.75" customHeight="1" spans="1:11" s="1" customFormat="1" x14ac:dyDescent="0.25">
      <c r="A122" s="66"/>
      <c r="B122" s="57"/>
      <c r="C122" s="57"/>
      <c r="D122" s="57"/>
      <c r="E122" s="63"/>
      <c r="F122" s="60"/>
      <c r="G122" s="62"/>
      <c r="H122" s="71"/>
      <c r="I122" s="62"/>
      <c r="J122" s="57"/>
      <c r="K122" s="57"/>
    </row>
    <row r="123" ht="15.75" customHeight="1" spans="1:11" s="1" customFormat="1" x14ac:dyDescent="0.25">
      <c r="A123" s="67"/>
      <c r="B123" s="50"/>
      <c r="C123" s="50"/>
      <c r="D123" s="50"/>
      <c r="E123" s="56"/>
      <c r="F123" s="53"/>
      <c r="G123" s="55"/>
      <c r="H123" s="70"/>
      <c r="I123" s="55"/>
      <c r="J123" s="50"/>
      <c r="K123" s="50"/>
    </row>
    <row r="124" ht="15.75" customHeight="1" spans="1:11" s="1" customFormat="1" x14ac:dyDescent="0.25">
      <c r="A124" s="66"/>
      <c r="B124" s="57"/>
      <c r="C124" s="57"/>
      <c r="D124" s="57"/>
      <c r="E124" s="63"/>
      <c r="F124" s="60"/>
      <c r="G124" s="62"/>
      <c r="H124" s="71"/>
      <c r="I124" s="62"/>
      <c r="J124" s="57"/>
      <c r="K124" s="57"/>
    </row>
    <row r="125" ht="15.75" customHeight="1" spans="1:11" s="1" customFormat="1" x14ac:dyDescent="0.25">
      <c r="A125" s="67"/>
      <c r="B125" s="50"/>
      <c r="C125" s="50"/>
      <c r="D125" s="50"/>
      <c r="E125" s="56"/>
      <c r="F125" s="53"/>
      <c r="G125" s="55"/>
      <c r="H125" s="70"/>
      <c r="I125" s="55"/>
      <c r="J125" s="50"/>
      <c r="K125" s="50"/>
    </row>
    <row r="126" ht="15.75" customHeight="1" spans="1:11" s="1" customFormat="1" x14ac:dyDescent="0.25">
      <c r="A126" s="66"/>
      <c r="B126" s="57"/>
      <c r="C126" s="57"/>
      <c r="D126" s="57"/>
      <c r="E126" s="63"/>
      <c r="F126" s="60"/>
      <c r="G126" s="62"/>
      <c r="H126" s="71"/>
      <c r="I126" s="62"/>
      <c r="J126" s="57"/>
      <c r="K126" s="57"/>
    </row>
    <row r="127" ht="15.75" customHeight="1" spans="1:11" s="1" customFormat="1" x14ac:dyDescent="0.25">
      <c r="A127" s="67"/>
      <c r="B127" s="50"/>
      <c r="C127" s="50"/>
      <c r="D127" s="50"/>
      <c r="E127" s="56"/>
      <c r="F127" s="53"/>
      <c r="G127" s="55"/>
      <c r="H127" s="70"/>
      <c r="I127" s="55"/>
      <c r="J127" s="50"/>
      <c r="K127" s="50"/>
    </row>
    <row r="128" ht="15.75" customHeight="1" spans="1:11" s="1" customFormat="1" x14ac:dyDescent="0.25">
      <c r="A128" s="66"/>
      <c r="B128" s="57"/>
      <c r="C128" s="57"/>
      <c r="D128" s="57"/>
      <c r="E128" s="63"/>
      <c r="F128" s="60"/>
      <c r="G128" s="62"/>
      <c r="H128" s="71"/>
      <c r="I128" s="62"/>
      <c r="J128" s="57"/>
      <c r="K128" s="57"/>
    </row>
    <row r="129" ht="15.75" customHeight="1" spans="1:11" s="1" customFormat="1" x14ac:dyDescent="0.25">
      <c r="A129" s="67"/>
      <c r="B129" s="50"/>
      <c r="C129" s="50"/>
      <c r="D129" s="50"/>
      <c r="E129" s="56"/>
      <c r="F129" s="53"/>
      <c r="G129" s="55"/>
      <c r="H129" s="70"/>
      <c r="I129" s="55"/>
      <c r="J129" s="50"/>
      <c r="K129" s="50"/>
    </row>
    <row r="130" ht="15.75" customHeight="1" spans="1:11" s="1" customFormat="1" x14ac:dyDescent="0.25">
      <c r="A130" s="66"/>
      <c r="B130" s="57"/>
      <c r="C130" s="57"/>
      <c r="D130" s="57"/>
      <c r="E130" s="63"/>
      <c r="F130" s="60"/>
      <c r="G130" s="62"/>
      <c r="H130" s="71"/>
      <c r="I130" s="62"/>
      <c r="J130" s="57"/>
      <c r="K130" s="57"/>
    </row>
    <row r="131" ht="15.75" customHeight="1" spans="1:11" s="1" customFormat="1" x14ac:dyDescent="0.25">
      <c r="A131" s="67"/>
      <c r="B131" s="50"/>
      <c r="C131" s="50"/>
      <c r="D131" s="50"/>
      <c r="E131" s="56"/>
      <c r="F131" s="53"/>
      <c r="G131" s="55"/>
      <c r="H131" s="70"/>
      <c r="I131" s="55"/>
      <c r="J131" s="50"/>
      <c r="K131" s="50"/>
    </row>
    <row r="132" ht="15.75" customHeight="1" spans="1:11" s="1" customFormat="1" x14ac:dyDescent="0.25">
      <c r="A132" s="66"/>
      <c r="B132" s="57"/>
      <c r="C132" s="57"/>
      <c r="D132" s="57"/>
      <c r="E132" s="63"/>
      <c r="F132" s="60"/>
      <c r="G132" s="62"/>
      <c r="H132" s="71"/>
      <c r="I132" s="62"/>
      <c r="J132" s="57"/>
      <c r="K132" s="57"/>
    </row>
    <row r="133" ht="15.75" customHeight="1" spans="1:11" s="1" customFormat="1" x14ac:dyDescent="0.25">
      <c r="A133" s="67"/>
      <c r="B133" s="50"/>
      <c r="C133" s="50"/>
      <c r="D133" s="50"/>
      <c r="E133" s="56"/>
      <c r="F133" s="53"/>
      <c r="G133" s="55"/>
      <c r="H133" s="70"/>
      <c r="I133" s="55"/>
      <c r="J133" s="50"/>
      <c r="K133" s="50"/>
    </row>
    <row r="134" ht="15.75" customHeight="1" spans="1:11" s="1" customFormat="1" x14ac:dyDescent="0.25">
      <c r="A134" s="66"/>
      <c r="B134" s="57"/>
      <c r="C134" s="57"/>
      <c r="D134" s="57"/>
      <c r="E134" s="63"/>
      <c r="F134" s="60"/>
      <c r="G134" s="62"/>
      <c r="H134" s="71"/>
      <c r="I134" s="62"/>
      <c r="J134" s="57"/>
      <c r="K134" s="57"/>
    </row>
    <row r="135" ht="15.75" customHeight="1" spans="1:11" s="1" customFormat="1" x14ac:dyDescent="0.25">
      <c r="A135" s="67"/>
      <c r="B135" s="50"/>
      <c r="C135" s="50"/>
      <c r="D135" s="50"/>
      <c r="E135" s="56"/>
      <c r="F135" s="53"/>
      <c r="G135" s="55"/>
      <c r="H135" s="70"/>
      <c r="I135" s="55"/>
      <c r="J135" s="50"/>
      <c r="K135" s="50"/>
    </row>
    <row r="136" ht="15.75" customHeight="1" spans="1:11" s="1" customFormat="1" x14ac:dyDescent="0.25">
      <c r="A136" s="66"/>
      <c r="B136" s="57"/>
      <c r="C136" s="57"/>
      <c r="D136" s="57"/>
      <c r="E136" s="63"/>
      <c r="F136" s="60"/>
      <c r="G136" s="62"/>
      <c r="H136" s="71"/>
      <c r="I136" s="62"/>
      <c r="J136" s="57"/>
      <c r="K136" s="57"/>
    </row>
    <row r="137" ht="15.75" customHeight="1" spans="1:11" s="1" customFormat="1" x14ac:dyDescent="0.25">
      <c r="A137" s="67"/>
      <c r="B137" s="50"/>
      <c r="C137" s="50"/>
      <c r="D137" s="50"/>
      <c r="E137" s="56"/>
      <c r="F137" s="53"/>
      <c r="G137" s="55"/>
      <c r="H137" s="70"/>
      <c r="I137" s="55"/>
      <c r="J137" s="50"/>
      <c r="K137" s="50"/>
    </row>
    <row r="138" ht="15.75" customHeight="1" spans="1:11" s="1" customFormat="1" x14ac:dyDescent="0.25">
      <c r="A138" s="66"/>
      <c r="B138" s="57"/>
      <c r="C138" s="57"/>
      <c r="D138" s="57"/>
      <c r="E138" s="63"/>
      <c r="F138" s="60"/>
      <c r="G138" s="62"/>
      <c r="H138" s="71"/>
      <c r="I138" s="62"/>
      <c r="J138" s="57"/>
      <c r="K138" s="57"/>
    </row>
    <row r="139" ht="15.75" customHeight="1" spans="1:11" s="1" customFormat="1" x14ac:dyDescent="0.25">
      <c r="A139" s="67"/>
      <c r="B139" s="50"/>
      <c r="C139" s="50"/>
      <c r="D139" s="50"/>
      <c r="E139" s="56"/>
      <c r="F139" s="53"/>
      <c r="G139" s="55"/>
      <c r="H139" s="70"/>
      <c r="I139" s="55"/>
      <c r="J139" s="50"/>
      <c r="K139" s="50"/>
    </row>
    <row r="140" ht="15.75" customHeight="1" spans="1:11" s="1" customFormat="1" x14ac:dyDescent="0.25">
      <c r="A140" s="66"/>
      <c r="B140" s="57"/>
      <c r="C140" s="57"/>
      <c r="D140" s="57"/>
      <c r="E140" s="63"/>
      <c r="F140" s="60"/>
      <c r="G140" s="62"/>
      <c r="H140" s="71"/>
      <c r="I140" s="62"/>
      <c r="J140" s="57"/>
      <c r="K140" s="57"/>
    </row>
    <row r="141" ht="15.75" customHeight="1" spans="1:11" s="1" customFormat="1" x14ac:dyDescent="0.25">
      <c r="A141" s="67"/>
      <c r="B141" s="50"/>
      <c r="C141" s="50"/>
      <c r="D141" s="50"/>
      <c r="E141" s="56"/>
      <c r="F141" s="53"/>
      <c r="G141" s="55"/>
      <c r="H141" s="70"/>
      <c r="I141" s="55"/>
      <c r="J141" s="50"/>
      <c r="K141" s="50"/>
    </row>
    <row r="142" ht="15.75" customHeight="1" spans="1:11" s="1" customFormat="1" x14ac:dyDescent="0.25">
      <c r="A142" s="66"/>
      <c r="B142" s="57"/>
      <c r="C142" s="57"/>
      <c r="D142" s="57"/>
      <c r="E142" s="63"/>
      <c r="F142" s="60"/>
      <c r="G142" s="62"/>
      <c r="H142" s="71"/>
      <c r="I142" s="62"/>
      <c r="J142" s="57"/>
      <c r="K142" s="57"/>
    </row>
    <row r="143" ht="15.75" customHeight="1" spans="1:11" s="1" customFormat="1" x14ac:dyDescent="0.25">
      <c r="A143" s="67"/>
      <c r="B143" s="50"/>
      <c r="C143" s="50"/>
      <c r="D143" s="50"/>
      <c r="E143" s="56"/>
      <c r="F143" s="53"/>
      <c r="G143" s="55"/>
      <c r="H143" s="70"/>
      <c r="I143" s="55"/>
      <c r="J143" s="50"/>
      <c r="K143" s="50"/>
    </row>
    <row r="144" ht="15.75" customHeight="1" spans="1:11" s="1" customFormat="1" x14ac:dyDescent="0.25">
      <c r="A144" s="66"/>
      <c r="B144" s="57"/>
      <c r="C144" s="57"/>
      <c r="D144" s="57"/>
      <c r="E144" s="63"/>
      <c r="F144" s="60"/>
      <c r="G144" s="62"/>
      <c r="H144" s="71"/>
      <c r="I144" s="62"/>
      <c r="J144" s="57"/>
      <c r="K144" s="57"/>
    </row>
    <row r="145" ht="15.75" customHeight="1" spans="1:11" s="1" customFormat="1" x14ac:dyDescent="0.25">
      <c r="A145" s="67"/>
      <c r="B145" s="50"/>
      <c r="C145" s="50"/>
      <c r="D145" s="50"/>
      <c r="E145" s="56"/>
      <c r="F145" s="53"/>
      <c r="G145" s="55"/>
      <c r="H145" s="70"/>
      <c r="I145" s="55"/>
      <c r="J145" s="50"/>
      <c r="K145" s="50"/>
    </row>
    <row r="146" ht="15.75" customHeight="1" spans="1:11" s="1" customFormat="1" x14ac:dyDescent="0.25">
      <c r="A146" s="66"/>
      <c r="B146" s="57"/>
      <c r="C146" s="57"/>
      <c r="D146" s="57"/>
      <c r="E146" s="63"/>
      <c r="F146" s="60"/>
      <c r="G146" s="62"/>
      <c r="H146" s="71"/>
      <c r="I146" s="62"/>
      <c r="J146" s="57"/>
      <c r="K146" s="57"/>
    </row>
    <row r="147" ht="15.75" customHeight="1" spans="1:11" s="1" customFormat="1" x14ac:dyDescent="0.25">
      <c r="A147" s="67"/>
      <c r="B147" s="50"/>
      <c r="C147" s="50"/>
      <c r="D147" s="50"/>
      <c r="E147" s="56"/>
      <c r="F147" s="53"/>
      <c r="G147" s="55"/>
      <c r="H147" s="70"/>
      <c r="I147" s="55"/>
      <c r="J147" s="50"/>
      <c r="K147" s="50"/>
    </row>
    <row r="148" ht="15.75" customHeight="1" spans="1:11" s="1" customFormat="1" x14ac:dyDescent="0.25">
      <c r="A148" s="66"/>
      <c r="B148" s="57"/>
      <c r="C148" s="57"/>
      <c r="D148" s="57"/>
      <c r="E148" s="63"/>
      <c r="F148" s="60"/>
      <c r="G148" s="62"/>
      <c r="H148" s="71"/>
      <c r="I148" s="62"/>
      <c r="J148" s="57"/>
      <c r="K148" s="57"/>
    </row>
    <row r="149" ht="15.75" customHeight="1" spans="1:11" s="1" customFormat="1" x14ac:dyDescent="0.25">
      <c r="A149" s="67"/>
      <c r="B149" s="50"/>
      <c r="C149" s="50"/>
      <c r="D149" s="50"/>
      <c r="E149" s="56"/>
      <c r="F149" s="53"/>
      <c r="G149" s="55"/>
      <c r="H149" s="70"/>
      <c r="I149" s="55"/>
      <c r="J149" s="50"/>
      <c r="K149" s="50"/>
    </row>
    <row r="150" ht="15.75" customHeight="1" spans="1:11" s="1" customFormat="1" x14ac:dyDescent="0.25">
      <c r="A150" s="66"/>
      <c r="B150" s="57"/>
      <c r="C150" s="57"/>
      <c r="D150" s="57"/>
      <c r="E150" s="63"/>
      <c r="F150" s="60"/>
      <c r="G150" s="62"/>
      <c r="H150" s="71"/>
      <c r="I150" s="62"/>
      <c r="J150" s="57"/>
      <c r="K150" s="57"/>
    </row>
    <row r="151" ht="15.75" customHeight="1" spans="1:11" s="1" customFormat="1" x14ac:dyDescent="0.25">
      <c r="A151" s="67"/>
      <c r="B151" s="50"/>
      <c r="C151" s="50"/>
      <c r="D151" s="50"/>
      <c r="E151" s="56"/>
      <c r="F151" s="53"/>
      <c r="G151" s="55"/>
      <c r="H151" s="70"/>
      <c r="I151" s="55"/>
      <c r="J151" s="50"/>
      <c r="K151" s="50"/>
    </row>
    <row r="152" ht="15.75" customHeight="1" spans="1:11" s="1" customFormat="1" x14ac:dyDescent="0.25">
      <c r="A152" s="66"/>
      <c r="B152" s="57"/>
      <c r="C152" s="57"/>
      <c r="D152" s="57"/>
      <c r="E152" s="63"/>
      <c r="F152" s="60"/>
      <c r="G152" s="62"/>
      <c r="H152" s="71"/>
      <c r="I152" s="62"/>
      <c r="J152" s="57"/>
      <c r="K152" s="57"/>
    </row>
    <row r="153" ht="15.75" customHeight="1" spans="1:11" s="1" customFormat="1" x14ac:dyDescent="0.25">
      <c r="A153" s="67"/>
      <c r="B153" s="50"/>
      <c r="C153" s="50"/>
      <c r="D153" s="50"/>
      <c r="E153" s="56"/>
      <c r="F153" s="53"/>
      <c r="G153" s="55"/>
      <c r="H153" s="70"/>
      <c r="I153" s="55"/>
      <c r="J153" s="50"/>
      <c r="K153" s="50"/>
    </row>
    <row r="154" ht="15.75" customHeight="1" spans="1:11" s="1" customFormat="1" x14ac:dyDescent="0.25">
      <c r="A154" s="66"/>
      <c r="B154" s="57"/>
      <c r="C154" s="57"/>
      <c r="D154" s="57"/>
      <c r="E154" s="63"/>
      <c r="F154" s="60"/>
      <c r="G154" s="62"/>
      <c r="H154" s="71"/>
      <c r="I154" s="62"/>
      <c r="J154" s="57"/>
      <c r="K154" s="57"/>
    </row>
    <row r="155" ht="15.75" customHeight="1" spans="1:11" s="1" customFormat="1" x14ac:dyDescent="0.25">
      <c r="A155" s="67"/>
      <c r="B155" s="50"/>
      <c r="C155" s="50"/>
      <c r="D155" s="50"/>
      <c r="E155" s="56"/>
      <c r="F155" s="53"/>
      <c r="G155" s="55"/>
      <c r="H155" s="70"/>
      <c r="I155" s="55"/>
      <c r="J155" s="50"/>
      <c r="K155" s="50"/>
    </row>
    <row r="156" ht="15.75" customHeight="1" spans="1:11" s="1" customFormat="1" x14ac:dyDescent="0.25">
      <c r="A156" s="66"/>
      <c r="B156" s="57"/>
      <c r="C156" s="57"/>
      <c r="D156" s="57"/>
      <c r="E156" s="63"/>
      <c r="F156" s="60"/>
      <c r="G156" s="62"/>
      <c r="H156" s="71"/>
      <c r="I156" s="62"/>
      <c r="J156" s="57"/>
      <c r="K156" s="57"/>
    </row>
    <row r="157" ht="15.75" customHeight="1" spans="1:11" s="1" customFormat="1" x14ac:dyDescent="0.25">
      <c r="A157" s="67"/>
      <c r="B157" s="50"/>
      <c r="C157" s="50"/>
      <c r="D157" s="50"/>
      <c r="E157" s="56"/>
      <c r="F157" s="53"/>
      <c r="G157" s="55"/>
      <c r="H157" s="70"/>
      <c r="I157" s="55"/>
      <c r="J157" s="50"/>
      <c r="K157" s="50"/>
    </row>
    <row r="158" ht="15.75" customHeight="1" spans="1:11" s="1" customFormat="1" x14ac:dyDescent="0.25">
      <c r="A158" s="66"/>
      <c r="B158" s="57"/>
      <c r="C158" s="57"/>
      <c r="D158" s="57"/>
      <c r="E158" s="63"/>
      <c r="F158" s="60"/>
      <c r="G158" s="62"/>
      <c r="H158" s="71"/>
      <c r="I158" s="62"/>
      <c r="J158" s="57"/>
      <c r="K158" s="57"/>
    </row>
    <row r="159" ht="15.75" customHeight="1" spans="1:11" s="1" customFormat="1" x14ac:dyDescent="0.25">
      <c r="A159" s="67"/>
      <c r="B159" s="50"/>
      <c r="C159" s="50"/>
      <c r="D159" s="50"/>
      <c r="E159" s="56"/>
      <c r="F159" s="53"/>
      <c r="G159" s="55"/>
      <c r="H159" s="70"/>
      <c r="I159" s="55"/>
      <c r="J159" s="50"/>
      <c r="K159" s="50"/>
    </row>
    <row r="160" ht="15.75" customHeight="1" spans="1:11" s="1" customFormat="1" x14ac:dyDescent="0.25">
      <c r="A160" s="66"/>
      <c r="B160" s="57"/>
      <c r="C160" s="57"/>
      <c r="D160" s="57"/>
      <c r="E160" s="63"/>
      <c r="F160" s="60"/>
      <c r="G160" s="62"/>
      <c r="H160" s="71"/>
      <c r="I160" s="62"/>
      <c r="J160" s="57"/>
      <c r="K160" s="57"/>
    </row>
    <row r="161" ht="15.75" customHeight="1" spans="1:11" s="1" customFormat="1" x14ac:dyDescent="0.25">
      <c r="A161" s="67"/>
      <c r="B161" s="50"/>
      <c r="C161" s="50"/>
      <c r="D161" s="50"/>
      <c r="E161" s="56"/>
      <c r="F161" s="53"/>
      <c r="G161" s="55"/>
      <c r="H161" s="70"/>
      <c r="I161" s="55"/>
      <c r="J161" s="50"/>
      <c r="K161" s="50"/>
    </row>
    <row r="162" ht="15.75" customHeight="1" spans="1:11" s="1" customFormat="1" x14ac:dyDescent="0.25">
      <c r="A162" s="66"/>
      <c r="B162" s="57"/>
      <c r="C162" s="57"/>
      <c r="D162" s="57"/>
      <c r="E162" s="63"/>
      <c r="F162" s="60"/>
      <c r="G162" s="62"/>
      <c r="H162" s="71"/>
      <c r="I162" s="62"/>
      <c r="J162" s="57"/>
      <c r="K162" s="57"/>
    </row>
    <row r="163" ht="15.75" customHeight="1" spans="1:11" s="1" customFormat="1" x14ac:dyDescent="0.25">
      <c r="A163" s="67"/>
      <c r="B163" s="50"/>
      <c r="C163" s="50"/>
      <c r="D163" s="50"/>
      <c r="E163" s="56"/>
      <c r="F163" s="53"/>
      <c r="G163" s="55"/>
      <c r="H163" s="70"/>
      <c r="I163" s="55"/>
      <c r="J163" s="50"/>
      <c r="K163" s="50"/>
    </row>
    <row r="164" ht="15.75" customHeight="1" spans="1:11" s="1" customFormat="1" x14ac:dyDescent="0.25">
      <c r="A164" s="66"/>
      <c r="B164" s="57"/>
      <c r="C164" s="57"/>
      <c r="D164" s="57"/>
      <c r="E164" s="63"/>
      <c r="F164" s="60"/>
      <c r="G164" s="62"/>
      <c r="H164" s="71"/>
      <c r="I164" s="62"/>
      <c r="J164" s="57"/>
      <c r="K164" s="57"/>
    </row>
    <row r="165" ht="15.75" customHeight="1" spans="1:11" s="1" customFormat="1" x14ac:dyDescent="0.25">
      <c r="A165" s="67"/>
      <c r="B165" s="50"/>
      <c r="C165" s="50"/>
      <c r="D165" s="50"/>
      <c r="E165" s="56"/>
      <c r="F165" s="53"/>
      <c r="G165" s="55"/>
      <c r="H165" s="70"/>
      <c r="I165" s="55"/>
      <c r="J165" s="50"/>
      <c r="K165" s="50"/>
    </row>
    <row r="166" ht="15.75" customHeight="1" spans="1:11" s="1" customFormat="1" x14ac:dyDescent="0.25">
      <c r="A166" s="66"/>
      <c r="B166" s="57"/>
      <c r="C166" s="57"/>
      <c r="D166" s="57"/>
      <c r="E166" s="63"/>
      <c r="F166" s="60"/>
      <c r="G166" s="62"/>
      <c r="H166" s="71"/>
      <c r="I166" s="62"/>
      <c r="J166" s="57"/>
      <c r="K166" s="57"/>
    </row>
    <row r="167" ht="15.75" customHeight="1" spans="1:11" s="1" customFormat="1" x14ac:dyDescent="0.25">
      <c r="A167" s="67"/>
      <c r="B167" s="50"/>
      <c r="C167" s="50"/>
      <c r="D167" s="50"/>
      <c r="E167" s="56"/>
      <c r="F167" s="53"/>
      <c r="G167" s="55"/>
      <c r="H167" s="70"/>
      <c r="I167" s="55"/>
      <c r="J167" s="50"/>
      <c r="K167" s="50"/>
    </row>
    <row r="168" ht="15.75" customHeight="1" spans="1:11" s="1" customFormat="1" x14ac:dyDescent="0.25">
      <c r="A168" s="66"/>
      <c r="B168" s="57"/>
      <c r="C168" s="57"/>
      <c r="D168" s="57"/>
      <c r="E168" s="63"/>
      <c r="F168" s="60"/>
      <c r="G168" s="62"/>
      <c r="H168" s="71"/>
      <c r="I168" s="62"/>
      <c r="J168" s="57"/>
      <c r="K168" s="57"/>
    </row>
    <row r="169" ht="15.75" customHeight="1" spans="1:11" s="1" customFormat="1" x14ac:dyDescent="0.25">
      <c r="A169" s="67"/>
      <c r="B169" s="50"/>
      <c r="C169" s="50"/>
      <c r="D169" s="50"/>
      <c r="E169" s="56"/>
      <c r="F169" s="53"/>
      <c r="G169" s="55"/>
      <c r="H169" s="70"/>
      <c r="I169" s="55"/>
      <c r="J169" s="50"/>
      <c r="K169" s="50"/>
    </row>
    <row r="170" ht="15.75" customHeight="1" spans="1:11" s="1" customFormat="1" x14ac:dyDescent="0.25">
      <c r="A170" s="66"/>
      <c r="B170" s="57"/>
      <c r="C170" s="57"/>
      <c r="D170" s="57"/>
      <c r="E170" s="63"/>
      <c r="F170" s="60"/>
      <c r="G170" s="62"/>
      <c r="H170" s="71"/>
      <c r="I170" s="62"/>
      <c r="J170" s="57"/>
      <c r="K170" s="57"/>
    </row>
    <row r="171" ht="15.75" customHeight="1" spans="1:11" s="1" customFormat="1" x14ac:dyDescent="0.25">
      <c r="A171" s="67"/>
      <c r="B171" s="50"/>
      <c r="C171" s="50"/>
      <c r="D171" s="50"/>
      <c r="E171" s="56"/>
      <c r="F171" s="53"/>
      <c r="G171" s="55"/>
      <c r="H171" s="70"/>
      <c r="I171" s="55"/>
      <c r="J171" s="50"/>
      <c r="K171" s="50"/>
    </row>
    <row r="172" ht="15.75" customHeight="1" spans="1:11" s="1" customFormat="1" x14ac:dyDescent="0.25">
      <c r="A172" s="66"/>
      <c r="B172" s="57"/>
      <c r="C172" s="57"/>
      <c r="D172" s="57"/>
      <c r="E172" s="63"/>
      <c r="F172" s="60"/>
      <c r="G172" s="62"/>
      <c r="H172" s="71"/>
      <c r="I172" s="62"/>
      <c r="J172" s="57"/>
      <c r="K172" s="57"/>
    </row>
    <row r="173" ht="15.75" customHeight="1" spans="1:11" s="1" customFormat="1" x14ac:dyDescent="0.25">
      <c r="A173" s="67"/>
      <c r="B173" s="50"/>
      <c r="C173" s="50"/>
      <c r="D173" s="50"/>
      <c r="E173" s="56"/>
      <c r="F173" s="53"/>
      <c r="G173" s="55"/>
      <c r="H173" s="70"/>
      <c r="I173" s="55"/>
      <c r="J173" s="50"/>
      <c r="K173" s="50"/>
    </row>
    <row r="174" ht="15.75" customHeight="1" spans="1:11" s="1" customFormat="1" x14ac:dyDescent="0.25">
      <c r="A174" s="66"/>
      <c r="B174" s="57"/>
      <c r="C174" s="57"/>
      <c r="D174" s="57"/>
      <c r="E174" s="63"/>
      <c r="F174" s="60"/>
      <c r="G174" s="62"/>
      <c r="H174" s="71"/>
      <c r="I174" s="62"/>
      <c r="J174" s="57"/>
      <c r="K174" s="57"/>
    </row>
    <row r="175" ht="15.75" customHeight="1" spans="1:11" s="1" customFormat="1" x14ac:dyDescent="0.25">
      <c r="A175" s="67"/>
      <c r="B175" s="50"/>
      <c r="C175" s="50"/>
      <c r="D175" s="50"/>
      <c r="E175" s="56"/>
      <c r="F175" s="53"/>
      <c r="G175" s="55"/>
      <c r="H175" s="70"/>
      <c r="I175" s="55"/>
      <c r="J175" s="50"/>
      <c r="K175" s="50"/>
    </row>
    <row r="176" ht="15.75" customHeight="1" spans="1:11" s="1" customFormat="1" x14ac:dyDescent="0.25">
      <c r="A176" s="66"/>
      <c r="B176" s="57"/>
      <c r="C176" s="57"/>
      <c r="D176" s="57"/>
      <c r="E176" s="63"/>
      <c r="F176" s="60"/>
      <c r="G176" s="62"/>
      <c r="H176" s="71"/>
      <c r="I176" s="62"/>
      <c r="J176" s="57"/>
      <c r="K176" s="57"/>
    </row>
    <row r="177" ht="15.75" customHeight="1" spans="1:11" s="1" customFormat="1" x14ac:dyDescent="0.25">
      <c r="A177" s="67"/>
      <c r="B177" s="50"/>
      <c r="C177" s="50"/>
      <c r="D177" s="50"/>
      <c r="E177" s="56"/>
      <c r="F177" s="53"/>
      <c r="G177" s="55"/>
      <c r="H177" s="70"/>
      <c r="I177" s="55"/>
      <c r="J177" s="50"/>
      <c r="K177" s="50"/>
    </row>
    <row r="178" ht="15.75" customHeight="1" spans="1:11" s="1" customFormat="1" x14ac:dyDescent="0.25">
      <c r="A178" s="66"/>
      <c r="B178" s="57"/>
      <c r="C178" s="57"/>
      <c r="D178" s="57"/>
      <c r="E178" s="63"/>
      <c r="F178" s="60"/>
      <c r="G178" s="62"/>
      <c r="H178" s="71"/>
      <c r="I178" s="62"/>
      <c r="J178" s="57"/>
      <c r="K178" s="57"/>
    </row>
    <row r="179" ht="15.75" customHeight="1" spans="1:11" s="1" customFormat="1" x14ac:dyDescent="0.25">
      <c r="A179" s="67"/>
      <c r="B179" s="50"/>
      <c r="C179" s="50"/>
      <c r="D179" s="50"/>
      <c r="E179" s="56"/>
      <c r="F179" s="53"/>
      <c r="G179" s="55"/>
      <c r="H179" s="70"/>
      <c r="I179" s="55"/>
      <c r="J179" s="50"/>
      <c r="K179" s="50"/>
    </row>
    <row r="180" ht="15.75" customHeight="1" spans="1:11" s="1" customFormat="1" x14ac:dyDescent="0.25">
      <c r="A180" s="66"/>
      <c r="B180" s="57"/>
      <c r="C180" s="57"/>
      <c r="D180" s="57"/>
      <c r="E180" s="63"/>
      <c r="F180" s="60"/>
      <c r="G180" s="62"/>
      <c r="H180" s="71"/>
      <c r="I180" s="62"/>
      <c r="J180" s="57"/>
      <c r="K180" s="57"/>
    </row>
    <row r="181" ht="15.75" customHeight="1" spans="1:11" s="1" customFormat="1" x14ac:dyDescent="0.25">
      <c r="A181" s="67"/>
      <c r="B181" s="50"/>
      <c r="C181" s="50"/>
      <c r="D181" s="50"/>
      <c r="E181" s="56"/>
      <c r="F181" s="53"/>
      <c r="G181" s="55"/>
      <c r="H181" s="70"/>
      <c r="I181" s="55"/>
      <c r="J181" s="50"/>
      <c r="K181" s="50"/>
    </row>
    <row r="182" ht="15.75" customHeight="1" spans="1:11" s="1" customFormat="1" x14ac:dyDescent="0.25">
      <c r="A182" s="66"/>
      <c r="B182" s="57"/>
      <c r="C182" s="57"/>
      <c r="D182" s="57"/>
      <c r="E182" s="63"/>
      <c r="F182" s="60"/>
      <c r="G182" s="62"/>
      <c r="H182" s="71"/>
      <c r="I182" s="62"/>
      <c r="J182" s="57"/>
      <c r="K182" s="57"/>
    </row>
    <row r="183" ht="15.75" customHeight="1" spans="1:11" s="1" customFormat="1" x14ac:dyDescent="0.25">
      <c r="A183" s="67"/>
      <c r="B183" s="50"/>
      <c r="C183" s="50"/>
      <c r="D183" s="50"/>
      <c r="E183" s="56"/>
      <c r="F183" s="53"/>
      <c r="G183" s="55"/>
      <c r="H183" s="70"/>
      <c r="I183" s="55"/>
      <c r="J183" s="50"/>
      <c r="K183" s="50"/>
    </row>
    <row r="184" ht="15.75" customHeight="1" spans="1:11" s="1" customFormat="1" x14ac:dyDescent="0.25">
      <c r="A184" s="66"/>
      <c r="B184" s="57"/>
      <c r="C184" s="57"/>
      <c r="D184" s="57"/>
      <c r="E184" s="63"/>
      <c r="F184" s="60"/>
      <c r="G184" s="62"/>
      <c r="H184" s="71"/>
      <c r="I184" s="62"/>
      <c r="J184" s="57"/>
      <c r="K184" s="57"/>
    </row>
    <row r="185" ht="15.75" customHeight="1" spans="1:11" s="1" customFormat="1" x14ac:dyDescent="0.25">
      <c r="A185" s="67"/>
      <c r="B185" s="50"/>
      <c r="C185" s="50"/>
      <c r="D185" s="50"/>
      <c r="E185" s="56"/>
      <c r="F185" s="53"/>
      <c r="G185" s="55"/>
      <c r="H185" s="70"/>
      <c r="I185" s="55"/>
      <c r="J185" s="50"/>
      <c r="K185" s="50"/>
    </row>
    <row r="186" ht="15.75" customHeight="1" spans="1:11" s="1" customFormat="1" x14ac:dyDescent="0.25">
      <c r="A186" s="66"/>
      <c r="B186" s="57"/>
      <c r="C186" s="57"/>
      <c r="D186" s="57"/>
      <c r="E186" s="63"/>
      <c r="F186" s="60"/>
      <c r="G186" s="62"/>
      <c r="H186" s="71"/>
      <c r="I186" s="62"/>
      <c r="J186" s="57"/>
      <c r="K186" s="57"/>
    </row>
    <row r="187" ht="15.75" customHeight="1" spans="1:11" s="1" customFormat="1" x14ac:dyDescent="0.25">
      <c r="A187" s="67"/>
      <c r="B187" s="50"/>
      <c r="C187" s="50"/>
      <c r="D187" s="50"/>
      <c r="E187" s="56"/>
      <c r="F187" s="53"/>
      <c r="G187" s="55"/>
      <c r="H187" s="70"/>
      <c r="I187" s="55"/>
      <c r="J187" s="50"/>
      <c r="K187" s="50"/>
    </row>
    <row r="188" ht="15.75" customHeight="1" spans="1:11" s="1" customFormat="1" x14ac:dyDescent="0.25">
      <c r="A188" s="66"/>
      <c r="B188" s="57"/>
      <c r="C188" s="57"/>
      <c r="D188" s="57"/>
      <c r="E188" s="63"/>
      <c r="F188" s="60"/>
      <c r="G188" s="62"/>
      <c r="H188" s="71"/>
      <c r="I188" s="62"/>
      <c r="J188" s="57"/>
      <c r="K188" s="57"/>
    </row>
    <row r="189" ht="15.75" customHeight="1" spans="1:11" s="1" customFormat="1" x14ac:dyDescent="0.25">
      <c r="A189" s="67"/>
      <c r="B189" s="50"/>
      <c r="C189" s="50"/>
      <c r="D189" s="50"/>
      <c r="E189" s="56"/>
      <c r="F189" s="53"/>
      <c r="G189" s="55"/>
      <c r="H189" s="70"/>
      <c r="I189" s="55"/>
      <c r="J189" s="50"/>
      <c r="K189" s="50"/>
    </row>
    <row r="190" ht="15.75" customHeight="1" spans="1:11" s="1" customFormat="1" x14ac:dyDescent="0.25">
      <c r="A190" s="66"/>
      <c r="B190" s="57"/>
      <c r="C190" s="57"/>
      <c r="D190" s="57"/>
      <c r="E190" s="63"/>
      <c r="F190" s="60"/>
      <c r="G190" s="62"/>
      <c r="H190" s="71"/>
      <c r="I190" s="62"/>
      <c r="J190" s="57"/>
      <c r="K190" s="57"/>
    </row>
    <row r="191" ht="15.75" customHeight="1" spans="1:11" s="1" customFormat="1" x14ac:dyDescent="0.25">
      <c r="A191" s="67"/>
      <c r="B191" s="50"/>
      <c r="C191" s="50"/>
      <c r="D191" s="50"/>
      <c r="E191" s="56"/>
      <c r="F191" s="53"/>
      <c r="G191" s="55"/>
      <c r="H191" s="70"/>
      <c r="I191" s="55"/>
      <c r="J191" s="50"/>
      <c r="K191" s="50"/>
    </row>
    <row r="192" ht="15.75" customHeight="1" spans="1:11" s="1" customFormat="1" x14ac:dyDescent="0.25">
      <c r="A192" s="66"/>
      <c r="B192" s="57"/>
      <c r="C192" s="57"/>
      <c r="D192" s="57"/>
      <c r="E192" s="63"/>
      <c r="F192" s="60"/>
      <c r="G192" s="62"/>
      <c r="H192" s="71"/>
      <c r="I192" s="62"/>
      <c r="J192" s="57"/>
      <c r="K192" s="57"/>
    </row>
    <row r="193" ht="15.75" customHeight="1" spans="1:11" s="1" customFormat="1" x14ac:dyDescent="0.25">
      <c r="A193" s="67"/>
      <c r="B193" s="50"/>
      <c r="C193" s="50"/>
      <c r="D193" s="50"/>
      <c r="E193" s="56"/>
      <c r="F193" s="53"/>
      <c r="G193" s="55"/>
      <c r="H193" s="70"/>
      <c r="I193" s="55"/>
      <c r="J193" s="50"/>
      <c r="K193" s="50"/>
    </row>
    <row r="194" ht="15.75" customHeight="1" spans="1:11" s="1" customFormat="1" x14ac:dyDescent="0.25">
      <c r="A194" s="66"/>
      <c r="B194" s="57"/>
      <c r="C194" s="57"/>
      <c r="D194" s="57"/>
      <c r="E194" s="63"/>
      <c r="F194" s="60"/>
      <c r="G194" s="62"/>
      <c r="H194" s="71"/>
      <c r="I194" s="62"/>
      <c r="J194" s="57"/>
      <c r="K194" s="57"/>
    </row>
    <row r="195" ht="15.75" customHeight="1" spans="1:11" s="1" customFormat="1" x14ac:dyDescent="0.25">
      <c r="A195" s="67"/>
      <c r="B195" s="50"/>
      <c r="C195" s="50"/>
      <c r="D195" s="50"/>
      <c r="E195" s="56"/>
      <c r="F195" s="53"/>
      <c r="G195" s="55"/>
      <c r="H195" s="70"/>
      <c r="I195" s="55"/>
      <c r="J195" s="50"/>
      <c r="K195" s="50"/>
    </row>
    <row r="196" ht="15.75" customHeight="1" spans="1:11" s="1" customFormat="1" x14ac:dyDescent="0.25">
      <c r="A196" s="66"/>
      <c r="B196" s="57"/>
      <c r="C196" s="57"/>
      <c r="D196" s="57"/>
      <c r="E196" s="63"/>
      <c r="F196" s="60"/>
      <c r="G196" s="62"/>
      <c r="H196" s="71"/>
      <c r="I196" s="62"/>
      <c r="J196" s="57"/>
      <c r="K196" s="57"/>
    </row>
    <row r="197" ht="15.75" customHeight="1" spans="1:11" s="1" customFormat="1" x14ac:dyDescent="0.25">
      <c r="A197" s="67"/>
      <c r="B197" s="50"/>
      <c r="C197" s="50"/>
      <c r="D197" s="50"/>
      <c r="E197" s="56"/>
      <c r="F197" s="53"/>
      <c r="G197" s="55"/>
      <c r="H197" s="70"/>
      <c r="I197" s="55"/>
      <c r="J197" s="50"/>
      <c r="K197" s="50"/>
    </row>
    <row r="198" ht="15.75" customHeight="1" spans="1:11" s="1" customFormat="1" x14ac:dyDescent="0.25">
      <c r="A198" s="66"/>
      <c r="B198" s="57"/>
      <c r="C198" s="57"/>
      <c r="D198" s="57"/>
      <c r="E198" s="63"/>
      <c r="F198" s="60"/>
      <c r="G198" s="62"/>
      <c r="H198" s="71"/>
      <c r="I198" s="62"/>
      <c r="J198" s="57"/>
      <c r="K198" s="57"/>
    </row>
    <row r="199" ht="15.75" customHeight="1" spans="1:11" s="1" customFormat="1" x14ac:dyDescent="0.25">
      <c r="A199" s="67"/>
      <c r="B199" s="50"/>
      <c r="C199" s="50"/>
      <c r="D199" s="50"/>
      <c r="E199" s="56"/>
      <c r="F199" s="53"/>
      <c r="G199" s="55"/>
      <c r="H199" s="70"/>
      <c r="I199" s="55"/>
      <c r="J199" s="50"/>
      <c r="K199" s="50"/>
    </row>
    <row r="200" ht="15.75" customHeight="1" spans="1:11" s="1" customFormat="1" x14ac:dyDescent="0.25">
      <c r="A200" s="66"/>
      <c r="B200" s="57"/>
      <c r="C200" s="57"/>
      <c r="D200" s="57"/>
      <c r="E200" s="63"/>
      <c r="F200" s="60"/>
      <c r="G200" s="62"/>
      <c r="H200" s="71"/>
      <c r="I200" s="62"/>
      <c r="J200" s="57"/>
      <c r="K200" s="57"/>
    </row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K1"/>
    <mergeCell ref="A2:K2"/>
    <mergeCell ref="A3:K3"/>
  </mergeCells>
  <conditionalFormatting sqref="K5:K200">
    <cfRule type="cellIs" dxfId="3" priority="1" operator="equal">
      <formula>"Pago"</formula>
    </cfRule>
    <cfRule type="cellIs" dxfId="4" priority="2" operator="equal">
      <formula>"Pendente"</formula>
    </cfRule>
    <cfRule type="cellIs" dxfId="5" priority="3" operator="equal">
      <formula>"Cancelado"</formula>
    </cfRule>
  </conditionalFormatting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000"/>
  <sheetViews>
    <sheetView workbookViewId="0" zoomScale="100" zoomScaleNormal="100">
      <pane ySplit="7" topLeftCell="A8" activePane="bottomLeft" state="frozen"/>
      <selection pane="bottomLeft" activeCell="B9" sqref="B9"/>
    </sheetView>
  </sheetViews>
  <sheetFormatPr defaultRowHeight="15" outlineLevelRow="0" outlineLevelCol="0" x14ac:dyDescent="0" defaultColWidth="14.43"/>
  <cols>
    <col min="1" max="1" width="12" style="1" customWidth="1"/>
    <col min="2" max="2" width="28" style="1" customWidth="1"/>
    <col min="3" max="3" width="26" style="1" customWidth="1"/>
    <col min="4" max="4" width="24" style="1" customWidth="1"/>
    <col min="5" max="5" width="16" style="1" customWidth="1"/>
    <col min="6" max="6" width="14" style="1" customWidth="1"/>
    <col min="7" max="7" width="12" style="1" customWidth="1"/>
    <col min="8" max="8" width="22" style="1" customWidth="1"/>
    <col min="9" max="26" width="8.71" style="1" customWidth="1"/>
  </cols>
  <sheetData>
    <row r="1" ht="27.75" customHeight="1" spans="1:8" s="1" customFormat="1" x14ac:dyDescent="0.25">
      <c r="A1" s="7" t="s">
        <v>0</v>
      </c>
      <c r="B1" s="1"/>
      <c r="C1" s="1"/>
      <c r="D1" s="1"/>
      <c r="E1" s="1"/>
      <c r="F1" s="1"/>
      <c r="G1" s="1"/>
      <c r="H1" s="1"/>
    </row>
    <row r="2" ht="24" customHeight="1" spans="1:8" s="1" customFormat="1" x14ac:dyDescent="0.25">
      <c r="A2" s="8" t="s">
        <v>138</v>
      </c>
      <c r="B2" s="1"/>
      <c r="C2" s="1"/>
      <c r="D2" s="1"/>
      <c r="E2" s="1"/>
      <c r="F2" s="1"/>
      <c r="G2" s="1"/>
      <c r="H2" s="1"/>
    </row>
    <row r="3" ht="18" customHeight="1" spans="1:8" s="1" customFormat="1" x14ac:dyDescent="0.25">
      <c r="A3" s="9" t="s">
        <v>139</v>
      </c>
      <c r="B3" s="1"/>
      <c r="C3" s="1"/>
      <c r="D3" s="1"/>
      <c r="E3" s="1"/>
      <c r="F3" s="1"/>
      <c r="G3" s="1"/>
      <c r="H3" s="1"/>
    </row>
    <row r="4" ht="27.75" customHeight="1" spans="1:4" s="1" customFormat="1" x14ac:dyDescent="0.25">
      <c r="A4" s="72" t="s">
        <v>140</v>
      </c>
      <c r="B4" s="1"/>
      <c r="C4" s="1"/>
      <c r="D4" s="73">
        <v>0</v>
      </c>
    </row>
    <row r="6" ht="21.75" customHeight="1" spans="1:8" s="1" customFormat="1" x14ac:dyDescent="0.25">
      <c r="A6" s="74" t="s">
        <v>141</v>
      </c>
      <c r="B6" s="1"/>
      <c r="C6" s="1"/>
      <c r="D6" s="1"/>
      <c r="E6" s="1"/>
      <c r="F6" s="1"/>
      <c r="G6" s="1"/>
      <c r="H6" s="1"/>
    </row>
    <row r="7" ht="31.5" customHeight="1" spans="1:8" s="1" customFormat="1" x14ac:dyDescent="0.25">
      <c r="A7" s="22" t="s">
        <v>113</v>
      </c>
      <c r="B7" s="22" t="s">
        <v>55</v>
      </c>
      <c r="C7" s="22" t="s">
        <v>95</v>
      </c>
      <c r="D7" s="22" t="s">
        <v>142</v>
      </c>
      <c r="E7" s="22" t="s">
        <v>132</v>
      </c>
      <c r="F7" s="22" t="s">
        <v>56</v>
      </c>
      <c r="G7" s="22" t="s">
        <v>103</v>
      </c>
      <c r="H7" s="22" t="s">
        <v>73</v>
      </c>
    </row>
    <row r="8" spans="1:8" x14ac:dyDescent="0.25">
      <c r="A8" s="64">
        <v>46156.625</v>
      </c>
      <c r="B8" s="38" t="s">
        <v>143</v>
      </c>
      <c r="C8" s="38" t="s">
        <v>144</v>
      </c>
      <c r="D8" s="38" t="s">
        <v>75</v>
      </c>
      <c r="E8" s="38" t="s">
        <v>134</v>
      </c>
      <c r="F8" s="39">
        <v>499.7</v>
      </c>
      <c r="G8" s="38" t="s">
        <v>145</v>
      </c>
      <c r="H8" s="38" t="s">
        <v>146</v>
      </c>
    </row>
    <row r="9" spans="1:8" x14ac:dyDescent="0.25">
      <c r="A9" s="65">
        <v>46156.625</v>
      </c>
      <c r="B9" s="44" t="s">
        <v>147</v>
      </c>
      <c r="C9" s="44" t="s">
        <v>144</v>
      </c>
      <c r="D9" s="44" t="s">
        <v>83</v>
      </c>
      <c r="E9" s="44" t="s">
        <v>134</v>
      </c>
      <c r="F9" s="45">
        <v>7198.2</v>
      </c>
      <c r="G9" s="44" t="s">
        <v>145</v>
      </c>
      <c r="H9" s="44" t="s">
        <v>148</v>
      </c>
    </row>
    <row r="10" spans="1:8" x14ac:dyDescent="0.25">
      <c r="A10" s="64"/>
      <c r="B10" s="38"/>
      <c r="C10" s="38"/>
      <c r="D10" s="38"/>
      <c r="E10" s="38"/>
      <c r="F10" s="39"/>
      <c r="G10" s="38"/>
      <c r="H10" s="38"/>
    </row>
    <row r="11" spans="1:8" x14ac:dyDescent="0.25">
      <c r="A11" s="65"/>
      <c r="B11" s="44"/>
      <c r="C11" s="44"/>
      <c r="D11" s="44"/>
      <c r="E11" s="44"/>
      <c r="F11" s="45"/>
      <c r="G11" s="44"/>
      <c r="H11" s="44"/>
    </row>
    <row r="12" spans="1:8" x14ac:dyDescent="0.25">
      <c r="A12" s="64"/>
      <c r="B12" s="38"/>
      <c r="C12" s="38"/>
      <c r="D12" s="38"/>
      <c r="E12" s="38"/>
      <c r="F12" s="39"/>
      <c r="G12" s="38"/>
      <c r="H12" s="38"/>
    </row>
    <row r="13" spans="1:8" x14ac:dyDescent="0.25">
      <c r="A13" s="75"/>
      <c r="B13" s="76"/>
      <c r="C13" s="76"/>
      <c r="D13" s="76"/>
      <c r="E13" s="76"/>
      <c r="F13" s="77"/>
      <c r="G13" s="76"/>
      <c r="H13" s="76"/>
    </row>
    <row r="14" spans="1:8" x14ac:dyDescent="0.25">
      <c r="A14" s="78"/>
      <c r="B14" s="79"/>
      <c r="C14" s="79"/>
      <c r="D14" s="79"/>
      <c r="E14" s="79"/>
      <c r="F14" s="80"/>
      <c r="G14" s="79"/>
      <c r="H14" s="79"/>
    </row>
    <row r="15" spans="1:8" x14ac:dyDescent="0.25">
      <c r="A15" s="75"/>
      <c r="B15" s="76"/>
      <c r="C15" s="76"/>
      <c r="D15" s="76"/>
      <c r="E15" s="76"/>
      <c r="F15" s="77"/>
      <c r="G15" s="76"/>
      <c r="H15" s="76"/>
    </row>
    <row r="16" spans="1:8" x14ac:dyDescent="0.25">
      <c r="A16" s="78"/>
      <c r="B16" s="79"/>
      <c r="C16" s="79"/>
      <c r="D16" s="79"/>
      <c r="E16" s="79"/>
      <c r="F16" s="80"/>
      <c r="G16" s="79"/>
      <c r="H16" s="79"/>
    </row>
    <row r="17" spans="1:8" x14ac:dyDescent="0.25">
      <c r="A17" s="75"/>
      <c r="B17" s="76"/>
      <c r="C17" s="76"/>
      <c r="D17" s="76"/>
      <c r="E17" s="76"/>
      <c r="F17" s="77"/>
      <c r="G17" s="76"/>
      <c r="H17" s="76"/>
    </row>
    <row r="18" spans="1:8" x14ac:dyDescent="0.25">
      <c r="A18" s="78"/>
      <c r="B18" s="79"/>
      <c r="C18" s="79"/>
      <c r="D18" s="79"/>
      <c r="E18" s="79"/>
      <c r="F18" s="80"/>
      <c r="G18" s="79"/>
      <c r="H18" s="79"/>
    </row>
    <row r="19" spans="1:8" x14ac:dyDescent="0.25">
      <c r="A19" s="75"/>
      <c r="B19" s="76"/>
      <c r="C19" s="76"/>
      <c r="D19" s="76"/>
      <c r="E19" s="76"/>
      <c r="F19" s="77"/>
      <c r="G19" s="76"/>
      <c r="H19" s="76"/>
    </row>
    <row r="20" spans="1:8" x14ac:dyDescent="0.25">
      <c r="A20" s="78"/>
      <c r="B20" s="79"/>
      <c r="C20" s="79"/>
      <c r="D20" s="79"/>
      <c r="E20" s="79"/>
      <c r="F20" s="80"/>
      <c r="G20" s="79"/>
      <c r="H20" s="79"/>
    </row>
    <row r="21" ht="15.75" customHeight="1" spans="1:8" s="1" customFormat="1" x14ac:dyDescent="0.25">
      <c r="A21" s="75"/>
      <c r="B21" s="76"/>
      <c r="C21" s="76"/>
      <c r="D21" s="76"/>
      <c r="E21" s="76"/>
      <c r="F21" s="77"/>
      <c r="G21" s="76"/>
      <c r="H21" s="76"/>
    </row>
    <row r="22" ht="15.75" customHeight="1" spans="1:8" s="1" customFormat="1" x14ac:dyDescent="0.25">
      <c r="A22" s="78"/>
      <c r="B22" s="79"/>
      <c r="C22" s="79"/>
      <c r="D22" s="79"/>
      <c r="E22" s="79"/>
      <c r="F22" s="80"/>
      <c r="G22" s="79"/>
      <c r="H22" s="79"/>
    </row>
    <row r="23" ht="15.75" customHeight="1" spans="1:8" s="1" customFormat="1" x14ac:dyDescent="0.25">
      <c r="A23" s="75"/>
      <c r="B23" s="76"/>
      <c r="C23" s="76"/>
      <c r="D23" s="76"/>
      <c r="E23" s="76"/>
      <c r="F23" s="77"/>
      <c r="G23" s="76"/>
      <c r="H23" s="76"/>
    </row>
    <row r="24" ht="15.75" customHeight="1" spans="1:8" s="1" customFormat="1" x14ac:dyDescent="0.25">
      <c r="A24" s="78"/>
      <c r="B24" s="79"/>
      <c r="C24" s="79"/>
      <c r="D24" s="79"/>
      <c r="E24" s="79"/>
      <c r="F24" s="80"/>
      <c r="G24" s="79"/>
      <c r="H24" s="79"/>
    </row>
    <row r="25" ht="15.75" customHeight="1" spans="1:8" s="1" customFormat="1" x14ac:dyDescent="0.25">
      <c r="A25" s="75"/>
      <c r="B25" s="76"/>
      <c r="C25" s="76"/>
      <c r="D25" s="76"/>
      <c r="E25" s="76"/>
      <c r="F25" s="77"/>
      <c r="G25" s="76"/>
      <c r="H25" s="76"/>
    </row>
    <row r="26" ht="15.75" customHeight="1" spans="1:8" s="1" customFormat="1" x14ac:dyDescent="0.25">
      <c r="A26" s="78"/>
      <c r="B26" s="79"/>
      <c r="C26" s="79"/>
      <c r="D26" s="79"/>
      <c r="E26" s="79"/>
      <c r="F26" s="80"/>
      <c r="G26" s="79"/>
      <c r="H26" s="79"/>
    </row>
    <row r="27" ht="15.75" customHeight="1" spans="1:8" s="1" customFormat="1" x14ac:dyDescent="0.25">
      <c r="A27" s="75"/>
      <c r="B27" s="76"/>
      <c r="C27" s="76"/>
      <c r="D27" s="76"/>
      <c r="E27" s="76"/>
      <c r="F27" s="77"/>
      <c r="G27" s="76"/>
      <c r="H27" s="76"/>
    </row>
    <row r="28" ht="15.75" customHeight="1" spans="1:8" s="1" customFormat="1" x14ac:dyDescent="0.25">
      <c r="A28" s="78"/>
      <c r="B28" s="79"/>
      <c r="C28" s="79"/>
      <c r="D28" s="79"/>
      <c r="E28" s="79"/>
      <c r="F28" s="80"/>
      <c r="G28" s="79"/>
      <c r="H28" s="79"/>
    </row>
    <row r="29" ht="15.75" customHeight="1" spans="1:8" s="1" customFormat="1" x14ac:dyDescent="0.25">
      <c r="A29" s="75"/>
      <c r="B29" s="76"/>
      <c r="C29" s="76"/>
      <c r="D29" s="76"/>
      <c r="E29" s="76"/>
      <c r="F29" s="77"/>
      <c r="G29" s="76"/>
      <c r="H29" s="76"/>
    </row>
    <row r="30" ht="15.75" customHeight="1" spans="1:8" s="1" customFormat="1" x14ac:dyDescent="0.25">
      <c r="A30" s="78"/>
      <c r="B30" s="79"/>
      <c r="C30" s="79"/>
      <c r="D30" s="79"/>
      <c r="E30" s="79"/>
      <c r="F30" s="80"/>
      <c r="G30" s="79"/>
      <c r="H30" s="79"/>
    </row>
    <row r="31" ht="15.75" customHeight="1" spans="1:8" s="1" customFormat="1" x14ac:dyDescent="0.25">
      <c r="A31" s="75"/>
      <c r="B31" s="76"/>
      <c r="C31" s="76"/>
      <c r="D31" s="76"/>
      <c r="E31" s="76"/>
      <c r="F31" s="77"/>
      <c r="G31" s="76"/>
      <c r="H31" s="76"/>
    </row>
    <row r="32" ht="15.75" customHeight="1" spans="1:8" s="1" customFormat="1" x14ac:dyDescent="0.25">
      <c r="A32" s="78"/>
      <c r="B32" s="79"/>
      <c r="C32" s="79"/>
      <c r="D32" s="79"/>
      <c r="E32" s="79"/>
      <c r="F32" s="80"/>
      <c r="G32" s="79"/>
      <c r="H32" s="79"/>
    </row>
    <row r="33" ht="15.75" customHeight="1" spans="1:8" s="1" customFormat="1" x14ac:dyDescent="0.25">
      <c r="A33" s="75"/>
      <c r="B33" s="76"/>
      <c r="C33" s="76"/>
      <c r="D33" s="76"/>
      <c r="E33" s="76"/>
      <c r="F33" s="77"/>
      <c r="G33" s="76"/>
      <c r="H33" s="76"/>
    </row>
    <row r="34" ht="15.75" customHeight="1" spans="1:8" s="1" customFormat="1" x14ac:dyDescent="0.25">
      <c r="A34" s="78"/>
      <c r="B34" s="79"/>
      <c r="C34" s="79"/>
      <c r="D34" s="79"/>
      <c r="E34" s="79"/>
      <c r="F34" s="80"/>
      <c r="G34" s="79"/>
      <c r="H34" s="79"/>
    </row>
    <row r="35" ht="15.75" customHeight="1" spans="1:8" s="1" customFormat="1" x14ac:dyDescent="0.25">
      <c r="A35" s="75"/>
      <c r="B35" s="76"/>
      <c r="C35" s="76"/>
      <c r="D35" s="76"/>
      <c r="E35" s="76"/>
      <c r="F35" s="77"/>
      <c r="G35" s="76"/>
      <c r="H35" s="76"/>
    </row>
    <row r="36" ht="15.75" customHeight="1" spans="1:8" s="1" customFormat="1" x14ac:dyDescent="0.25">
      <c r="A36" s="78"/>
      <c r="B36" s="79"/>
      <c r="C36" s="79"/>
      <c r="D36" s="79"/>
      <c r="E36" s="79"/>
      <c r="F36" s="80"/>
      <c r="G36" s="79"/>
      <c r="H36" s="79"/>
    </row>
    <row r="37" ht="15.75" customHeight="1" spans="1:8" s="1" customFormat="1" x14ac:dyDescent="0.25">
      <c r="A37" s="75"/>
      <c r="B37" s="76"/>
      <c r="C37" s="76"/>
      <c r="D37" s="76"/>
      <c r="E37" s="76"/>
      <c r="F37" s="77"/>
      <c r="G37" s="76"/>
      <c r="H37" s="76"/>
    </row>
    <row r="38" ht="25.5" customHeight="1" spans="1:8" s="1" customFormat="1" x14ac:dyDescent="0.25">
      <c r="A38" s="81" t="s">
        <v>149</v>
      </c>
      <c r="B38" s="1"/>
      <c r="C38" s="1"/>
      <c r="D38" s="1"/>
      <c r="E38" s="1"/>
      <c r="F38" s="82">
        <f>SUM(F8:F37)</f>
      </c>
      <c r="G38" s="83"/>
      <c r="H38" s="83"/>
    </row>
    <row r="39" ht="15.75" customHeight="1" s="1" customFormat="1" x14ac:dyDescent="0.25"/>
    <row r="40" ht="21.75" customHeight="1" spans="1:8" s="1" customFormat="1" x14ac:dyDescent="0.25">
      <c r="A40" s="84" t="s">
        <v>150</v>
      </c>
      <c r="B40" s="1"/>
      <c r="C40" s="1"/>
      <c r="D40" s="1"/>
      <c r="E40" s="1"/>
      <c r="F40" s="1"/>
      <c r="G40" s="1"/>
      <c r="H40" s="1"/>
    </row>
    <row r="41" ht="31.5" customHeight="1" spans="1:8" s="1" customFormat="1" x14ac:dyDescent="0.25">
      <c r="A41" s="22" t="s">
        <v>113</v>
      </c>
      <c r="B41" s="22" t="s">
        <v>55</v>
      </c>
      <c r="C41" s="22" t="s">
        <v>95</v>
      </c>
      <c r="D41" s="22" t="s">
        <v>142</v>
      </c>
      <c r="E41" s="22" t="s">
        <v>132</v>
      </c>
      <c r="F41" s="22" t="s">
        <v>56</v>
      </c>
      <c r="G41" s="22" t="s">
        <v>103</v>
      </c>
      <c r="H41" s="22" t="s">
        <v>73</v>
      </c>
    </row>
    <row r="42" ht="15.75" customHeight="1" spans="1:8" s="1" customFormat="1" x14ac:dyDescent="0.25">
      <c r="A42" s="64">
        <v>46156.625</v>
      </c>
      <c r="B42" s="38" t="s">
        <v>151</v>
      </c>
      <c r="C42" s="38" t="s">
        <v>152</v>
      </c>
      <c r="D42" s="38" t="s">
        <v>119</v>
      </c>
      <c r="E42" s="38"/>
      <c r="F42" s="39">
        <v>1100</v>
      </c>
      <c r="G42" s="38" t="s">
        <v>145</v>
      </c>
      <c r="H42" s="38" t="s">
        <v>153</v>
      </c>
    </row>
    <row r="43" ht="15.75" customHeight="1" spans="1:8" s="1" customFormat="1" x14ac:dyDescent="0.25">
      <c r="A43" s="65">
        <v>46156.625</v>
      </c>
      <c r="B43" s="44" t="s">
        <v>154</v>
      </c>
      <c r="C43" s="44" t="s">
        <v>152</v>
      </c>
      <c r="D43" s="44" t="s">
        <v>119</v>
      </c>
      <c r="E43" s="44" t="s">
        <v>134</v>
      </c>
      <c r="F43" s="45">
        <v>15000</v>
      </c>
      <c r="G43" s="44" t="s">
        <v>145</v>
      </c>
      <c r="H43" s="44" t="s">
        <v>155</v>
      </c>
    </row>
    <row r="44" ht="15.75" customHeight="1" spans="1:8" s="1" customFormat="1" x14ac:dyDescent="0.25">
      <c r="A44" s="64"/>
      <c r="B44" s="38"/>
      <c r="C44" s="38"/>
      <c r="D44" s="38"/>
      <c r="E44" s="38"/>
      <c r="F44" s="39"/>
      <c r="G44" s="38"/>
      <c r="H44" s="38"/>
    </row>
    <row r="45" ht="15.75" customHeight="1" spans="1:8" s="1" customFormat="1" x14ac:dyDescent="0.25">
      <c r="A45" s="65"/>
      <c r="B45" s="44"/>
      <c r="C45" s="44"/>
      <c r="D45" s="44"/>
      <c r="E45" s="44"/>
      <c r="F45" s="45"/>
      <c r="G45" s="44"/>
      <c r="H45" s="44"/>
    </row>
    <row r="46" ht="15.75" customHeight="1" spans="1:8" s="1" customFormat="1" x14ac:dyDescent="0.25">
      <c r="A46" s="64"/>
      <c r="B46" s="38"/>
      <c r="C46" s="38"/>
      <c r="D46" s="38"/>
      <c r="E46" s="38"/>
      <c r="F46" s="39"/>
      <c r="G46" s="38"/>
      <c r="H46" s="38"/>
    </row>
    <row r="47" ht="15.75" customHeight="1" spans="1:8" s="1" customFormat="1" x14ac:dyDescent="0.25">
      <c r="A47" s="65"/>
      <c r="B47" s="44"/>
      <c r="C47" s="44"/>
      <c r="D47" s="44"/>
      <c r="E47" s="44"/>
      <c r="F47" s="45"/>
      <c r="G47" s="44"/>
      <c r="H47" s="44"/>
    </row>
    <row r="48" ht="15.75" customHeight="1" spans="1:8" s="1" customFormat="1" x14ac:dyDescent="0.25">
      <c r="A48" s="64"/>
      <c r="B48" s="38"/>
      <c r="C48" s="38"/>
      <c r="D48" s="38"/>
      <c r="E48" s="38"/>
      <c r="F48" s="39"/>
      <c r="G48" s="38"/>
      <c r="H48" s="38"/>
    </row>
    <row r="49" ht="15.75" customHeight="1" spans="1:8" s="1" customFormat="1" x14ac:dyDescent="0.25">
      <c r="A49" s="75"/>
      <c r="B49" s="76"/>
      <c r="C49" s="76"/>
      <c r="D49" s="76"/>
      <c r="E49" s="76"/>
      <c r="F49" s="77"/>
      <c r="G49" s="76"/>
      <c r="H49" s="76"/>
    </row>
    <row r="50" ht="15.75" customHeight="1" spans="1:8" s="1" customFormat="1" x14ac:dyDescent="0.25">
      <c r="A50" s="78"/>
      <c r="B50" s="79"/>
      <c r="C50" s="79"/>
      <c r="D50" s="79"/>
      <c r="E50" s="79"/>
      <c r="F50" s="80"/>
      <c r="G50" s="79"/>
      <c r="H50" s="79"/>
    </row>
    <row r="51" ht="15.75" customHeight="1" spans="1:8" s="1" customFormat="1" x14ac:dyDescent="0.25">
      <c r="A51" s="75"/>
      <c r="B51" s="76"/>
      <c r="C51" s="76"/>
      <c r="D51" s="76"/>
      <c r="E51" s="76"/>
      <c r="F51" s="77"/>
      <c r="G51" s="76"/>
      <c r="H51" s="76"/>
    </row>
    <row r="52" ht="15.75" customHeight="1" spans="1:8" s="1" customFormat="1" x14ac:dyDescent="0.25">
      <c r="A52" s="78"/>
      <c r="B52" s="79"/>
      <c r="C52" s="79"/>
      <c r="D52" s="79"/>
      <c r="E52" s="79"/>
      <c r="F52" s="80"/>
      <c r="G52" s="79"/>
      <c r="H52" s="79"/>
    </row>
    <row r="53" ht="15.75" customHeight="1" spans="1:8" s="1" customFormat="1" x14ac:dyDescent="0.25">
      <c r="A53" s="75"/>
      <c r="B53" s="76"/>
      <c r="C53" s="76"/>
      <c r="D53" s="76"/>
      <c r="E53" s="76"/>
      <c r="F53" s="77"/>
      <c r="G53" s="76"/>
      <c r="H53" s="76"/>
    </row>
    <row r="54" ht="15.75" customHeight="1" spans="1:8" s="1" customFormat="1" x14ac:dyDescent="0.25">
      <c r="A54" s="78"/>
      <c r="B54" s="79"/>
      <c r="C54" s="79"/>
      <c r="D54" s="79"/>
      <c r="E54" s="79"/>
      <c r="F54" s="80"/>
      <c r="G54" s="79"/>
      <c r="H54" s="79"/>
    </row>
    <row r="55" ht="15.75" customHeight="1" spans="1:8" s="1" customFormat="1" x14ac:dyDescent="0.25">
      <c r="A55" s="75"/>
      <c r="B55" s="76"/>
      <c r="C55" s="76"/>
      <c r="D55" s="76"/>
      <c r="E55" s="76"/>
      <c r="F55" s="77"/>
      <c r="G55" s="76"/>
      <c r="H55" s="76"/>
    </row>
    <row r="56" ht="15.75" customHeight="1" spans="1:8" s="1" customFormat="1" x14ac:dyDescent="0.25">
      <c r="A56" s="78"/>
      <c r="B56" s="79"/>
      <c r="C56" s="79"/>
      <c r="D56" s="79"/>
      <c r="E56" s="79"/>
      <c r="F56" s="80"/>
      <c r="G56" s="79"/>
      <c r="H56" s="79"/>
    </row>
    <row r="57" ht="15.75" customHeight="1" spans="1:8" s="1" customFormat="1" x14ac:dyDescent="0.25">
      <c r="A57" s="75"/>
      <c r="B57" s="76"/>
      <c r="C57" s="76"/>
      <c r="D57" s="76"/>
      <c r="E57" s="76"/>
      <c r="F57" s="77"/>
      <c r="G57" s="76"/>
      <c r="H57" s="76"/>
    </row>
    <row r="58" ht="15.75" customHeight="1" spans="1:8" s="1" customFormat="1" x14ac:dyDescent="0.25">
      <c r="A58" s="78"/>
      <c r="B58" s="79"/>
      <c r="C58" s="79"/>
      <c r="D58" s="79"/>
      <c r="E58" s="79"/>
      <c r="F58" s="80"/>
      <c r="G58" s="79"/>
      <c r="H58" s="79"/>
    </row>
    <row r="59" ht="15.75" customHeight="1" spans="1:8" s="1" customFormat="1" x14ac:dyDescent="0.25">
      <c r="A59" s="75"/>
      <c r="B59" s="76"/>
      <c r="C59" s="76"/>
      <c r="D59" s="76"/>
      <c r="E59" s="76"/>
      <c r="F59" s="77"/>
      <c r="G59" s="76"/>
      <c r="H59" s="76"/>
    </row>
    <row r="60" ht="15.75" customHeight="1" spans="1:8" s="1" customFormat="1" x14ac:dyDescent="0.25">
      <c r="A60" s="78"/>
      <c r="B60" s="79"/>
      <c r="C60" s="79"/>
      <c r="D60" s="79"/>
      <c r="E60" s="79"/>
      <c r="F60" s="80"/>
      <c r="G60" s="79"/>
      <c r="H60" s="79"/>
    </row>
    <row r="61" ht="15.75" customHeight="1" spans="1:8" s="1" customFormat="1" x14ac:dyDescent="0.25">
      <c r="A61" s="75"/>
      <c r="B61" s="76"/>
      <c r="C61" s="76"/>
      <c r="D61" s="76"/>
      <c r="E61" s="76"/>
      <c r="F61" s="77"/>
      <c r="G61" s="76"/>
      <c r="H61" s="76"/>
    </row>
    <row r="62" ht="15.75" customHeight="1" spans="1:8" s="1" customFormat="1" x14ac:dyDescent="0.25">
      <c r="A62" s="78"/>
      <c r="B62" s="79"/>
      <c r="C62" s="79"/>
      <c r="D62" s="79"/>
      <c r="E62" s="79"/>
      <c r="F62" s="80"/>
      <c r="G62" s="79"/>
      <c r="H62" s="79"/>
    </row>
    <row r="63" ht="15.75" customHeight="1" spans="1:8" s="1" customFormat="1" x14ac:dyDescent="0.25">
      <c r="A63" s="75"/>
      <c r="B63" s="76"/>
      <c r="C63" s="76"/>
      <c r="D63" s="76"/>
      <c r="E63" s="76"/>
      <c r="F63" s="77"/>
      <c r="G63" s="76"/>
      <c r="H63" s="76"/>
    </row>
    <row r="64" ht="15.75" customHeight="1" spans="1:8" s="1" customFormat="1" x14ac:dyDescent="0.25">
      <c r="A64" s="78"/>
      <c r="B64" s="79"/>
      <c r="C64" s="79"/>
      <c r="D64" s="79"/>
      <c r="E64" s="79"/>
      <c r="F64" s="80"/>
      <c r="G64" s="79"/>
      <c r="H64" s="79"/>
    </row>
    <row r="65" ht="15.75" customHeight="1" spans="1:8" s="1" customFormat="1" x14ac:dyDescent="0.25">
      <c r="A65" s="75"/>
      <c r="B65" s="76"/>
      <c r="C65" s="76"/>
      <c r="D65" s="76"/>
      <c r="E65" s="76"/>
      <c r="F65" s="77"/>
      <c r="G65" s="76"/>
      <c r="H65" s="76"/>
    </row>
    <row r="66" ht="15.75" customHeight="1" spans="1:8" s="1" customFormat="1" x14ac:dyDescent="0.25">
      <c r="A66" s="78"/>
      <c r="B66" s="79"/>
      <c r="C66" s="79"/>
      <c r="D66" s="79"/>
      <c r="E66" s="79"/>
      <c r="F66" s="80"/>
      <c r="G66" s="79"/>
      <c r="H66" s="79"/>
    </row>
    <row r="67" ht="15.75" customHeight="1" spans="1:8" s="1" customFormat="1" x14ac:dyDescent="0.25">
      <c r="A67" s="75"/>
      <c r="B67" s="76"/>
      <c r="C67" s="76"/>
      <c r="D67" s="76"/>
      <c r="E67" s="76"/>
      <c r="F67" s="77"/>
      <c r="G67" s="76"/>
      <c r="H67" s="76"/>
    </row>
    <row r="68" ht="15.75" customHeight="1" spans="1:8" s="1" customFormat="1" x14ac:dyDescent="0.25">
      <c r="A68" s="78"/>
      <c r="B68" s="79"/>
      <c r="C68" s="79"/>
      <c r="D68" s="79"/>
      <c r="E68" s="79"/>
      <c r="F68" s="80"/>
      <c r="G68" s="79"/>
      <c r="H68" s="79"/>
    </row>
    <row r="69" ht="15.75" customHeight="1" spans="1:8" s="1" customFormat="1" x14ac:dyDescent="0.25">
      <c r="A69" s="75"/>
      <c r="B69" s="76"/>
      <c r="C69" s="76"/>
      <c r="D69" s="76"/>
      <c r="E69" s="76"/>
      <c r="F69" s="77"/>
      <c r="G69" s="76"/>
      <c r="H69" s="76"/>
    </row>
    <row r="70" ht="15.75" customHeight="1" spans="1:8" s="1" customFormat="1" x14ac:dyDescent="0.25">
      <c r="A70" s="78"/>
      <c r="B70" s="79"/>
      <c r="C70" s="79"/>
      <c r="D70" s="79"/>
      <c r="E70" s="79"/>
      <c r="F70" s="80"/>
      <c r="G70" s="79"/>
      <c r="H70" s="79"/>
    </row>
    <row r="71" ht="15.75" customHeight="1" spans="1:8" s="1" customFormat="1" x14ac:dyDescent="0.25">
      <c r="A71" s="75"/>
      <c r="B71" s="76"/>
      <c r="C71" s="76"/>
      <c r="D71" s="76"/>
      <c r="E71" s="76"/>
      <c r="F71" s="77"/>
      <c r="G71" s="76"/>
      <c r="H71" s="76"/>
    </row>
    <row r="72" ht="25.5" customHeight="1" spans="1:8" s="1" customFormat="1" x14ac:dyDescent="0.25">
      <c r="A72" s="85" t="s">
        <v>156</v>
      </c>
      <c r="B72" s="1"/>
      <c r="C72" s="1"/>
      <c r="D72" s="1"/>
      <c r="E72" s="1"/>
      <c r="F72" s="86">
        <f>SUM(F42:F71)</f>
      </c>
      <c r="G72" s="87"/>
      <c r="H72" s="87"/>
    </row>
    <row r="73" ht="15.75" customHeight="1" s="1" customFormat="1" x14ac:dyDescent="0.25"/>
    <row r="74" ht="15.75" customHeight="1" s="1" customFormat="1" x14ac:dyDescent="0.25"/>
    <row r="75" ht="31.5" customHeight="1" spans="1:8" s="1" customFormat="1" x14ac:dyDescent="0.25">
      <c r="A75" s="88" t="s">
        <v>157</v>
      </c>
      <c r="B75" s="1"/>
      <c r="C75" s="1"/>
      <c r="D75" s="1"/>
      <c r="E75" s="1"/>
      <c r="F75" s="89">
        <f>D4+F38-F72</f>
      </c>
      <c r="G75" s="90"/>
      <c r="H75" s="90"/>
    </row>
    <row r="76" ht="15.75" customHeight="1" s="1" customFormat="1" x14ac:dyDescent="0.25"/>
    <row r="77" ht="15.75" customHeight="1" s="1" customFormat="1" x14ac:dyDescent="0.25"/>
    <row r="78" ht="15.75" customHeight="1" s="1" customFormat="1" x14ac:dyDescent="0.25"/>
    <row r="79" ht="15.75" customHeight="1" s="1" customFormat="1" x14ac:dyDescent="0.25"/>
    <row r="80" ht="15.75" customHeight="1" s="1" customFormat="1" x14ac:dyDescent="0.25"/>
    <row r="81" ht="15.75" customHeight="1" s="1" customFormat="1" x14ac:dyDescent="0.25"/>
    <row r="82" ht="15.75" customHeight="1" s="1" customFormat="1" x14ac:dyDescent="0.25"/>
    <row r="83" ht="15.75" customHeight="1" s="1" customFormat="1" x14ac:dyDescent="0.25"/>
    <row r="84" ht="15.75" customHeight="1" s="1" customFormat="1" x14ac:dyDescent="0.25"/>
    <row r="85" ht="15.75" customHeight="1" s="1" customFormat="1" x14ac:dyDescent="0.25"/>
    <row r="86" ht="15.75" customHeight="1" s="1" customFormat="1" x14ac:dyDescent="0.25"/>
    <row r="87" ht="15.75" customHeight="1" s="1" customFormat="1" x14ac:dyDescent="0.25"/>
    <row r="88" ht="15.75" customHeight="1" s="1" customFormat="1" x14ac:dyDescent="0.25"/>
    <row r="89" ht="15.75" customHeight="1" s="1" customFormat="1" x14ac:dyDescent="0.25"/>
    <row r="90" ht="15.75" customHeight="1" s="1" customFormat="1" x14ac:dyDescent="0.25"/>
    <row r="91" ht="15.75" customHeight="1" s="1" customFormat="1" x14ac:dyDescent="0.25"/>
    <row r="92" ht="15.75" customHeight="1" s="1" customFormat="1" x14ac:dyDescent="0.25"/>
    <row r="93" ht="15.75" customHeight="1" s="1" customFormat="1" x14ac:dyDescent="0.25"/>
    <row r="94" ht="15.75" customHeight="1" s="1" customFormat="1" x14ac:dyDescent="0.25"/>
    <row r="95" ht="15.75" customHeight="1" s="1" customFormat="1" x14ac:dyDescent="0.25"/>
    <row r="96" ht="15.75" customHeight="1" s="1" customFormat="1" x14ac:dyDescent="0.25"/>
    <row r="97" ht="15.75" customHeight="1" s="1" customFormat="1" x14ac:dyDescent="0.25"/>
    <row r="98" ht="15.75" customHeight="1" s="1" customFormat="1" x14ac:dyDescent="0.25"/>
    <row r="99" ht="15.75" customHeight="1" s="1" customFormat="1" x14ac:dyDescent="0.25"/>
    <row r="100" ht="15.75" customHeight="1" s="1" customFormat="1" x14ac:dyDescent="0.25"/>
    <row r="101" ht="15.75" customHeight="1" s="1" customFormat="1" x14ac:dyDescent="0.25"/>
    <row r="102" ht="15.75" customHeight="1" s="1" customFormat="1" x14ac:dyDescent="0.25"/>
    <row r="103" ht="15.75" customHeight="1" s="1" customFormat="1" x14ac:dyDescent="0.25"/>
    <row r="104" ht="15.75" customHeight="1" s="1" customFormat="1" x14ac:dyDescent="0.25"/>
    <row r="105" ht="15.75" customHeight="1" s="1" customFormat="1" x14ac:dyDescent="0.25"/>
    <row r="106" ht="15.75" customHeight="1" s="1" customFormat="1" x14ac:dyDescent="0.25"/>
    <row r="107" ht="15.75" customHeight="1" s="1" customFormat="1" x14ac:dyDescent="0.25"/>
    <row r="108" ht="15.75" customHeight="1" s="1" customFormat="1" x14ac:dyDescent="0.25"/>
    <row r="109" ht="15.75" customHeight="1" s="1" customFormat="1" x14ac:dyDescent="0.25"/>
    <row r="110" ht="15.75" customHeight="1" s="1" customFormat="1" x14ac:dyDescent="0.25"/>
    <row r="111" ht="15.75" customHeight="1" s="1" customFormat="1" x14ac:dyDescent="0.25"/>
    <row r="112" ht="15.75" customHeight="1" s="1" customFormat="1" x14ac:dyDescent="0.25"/>
    <row r="113" ht="15.75" customHeight="1" s="1" customFormat="1" x14ac:dyDescent="0.25"/>
    <row r="114" ht="15.75" customHeight="1" s="1" customFormat="1" x14ac:dyDescent="0.25"/>
    <row r="115" ht="15.75" customHeight="1" s="1" customFormat="1" x14ac:dyDescent="0.25"/>
    <row r="116" ht="15.75" customHeight="1" s="1" customFormat="1" x14ac:dyDescent="0.25"/>
    <row r="117" ht="15.75" customHeight="1" s="1" customFormat="1" x14ac:dyDescent="0.25"/>
    <row r="118" ht="15.75" customHeight="1" s="1" customFormat="1" x14ac:dyDescent="0.25"/>
    <row r="119" ht="15.75" customHeight="1" s="1" customFormat="1" x14ac:dyDescent="0.25"/>
    <row r="120" ht="15.75" customHeight="1" s="1" customFormat="1" x14ac:dyDescent="0.25"/>
    <row r="121" ht="15.75" customHeight="1" s="1" customFormat="1" x14ac:dyDescent="0.25"/>
    <row r="122" ht="15.75" customHeight="1" s="1" customFormat="1" x14ac:dyDescent="0.25"/>
    <row r="123" ht="15.75" customHeight="1" s="1" customFormat="1" x14ac:dyDescent="0.25"/>
    <row r="124" ht="15.75" customHeight="1" s="1" customFormat="1" x14ac:dyDescent="0.25"/>
    <row r="125" ht="15.75" customHeight="1" s="1" customFormat="1" x14ac:dyDescent="0.25"/>
    <row r="126" ht="15.75" customHeight="1" s="1" customFormat="1" x14ac:dyDescent="0.25"/>
    <row r="127" ht="15.75" customHeight="1" s="1" customFormat="1" x14ac:dyDescent="0.25"/>
    <row r="128" ht="15.75" customHeight="1" s="1" customFormat="1" x14ac:dyDescent="0.25"/>
    <row r="129" ht="15.75" customHeight="1" s="1" customFormat="1" x14ac:dyDescent="0.25"/>
    <row r="130" ht="15.75" customHeight="1" s="1" customFormat="1" x14ac:dyDescent="0.25"/>
    <row r="131" ht="15.75" customHeight="1" s="1" customFormat="1" x14ac:dyDescent="0.25"/>
    <row r="132" ht="15.75" customHeight="1" s="1" customFormat="1" x14ac:dyDescent="0.25"/>
    <row r="133" ht="15.75" customHeight="1" s="1" customFormat="1" x14ac:dyDescent="0.25"/>
    <row r="134" ht="15.75" customHeight="1" s="1" customFormat="1" x14ac:dyDescent="0.25"/>
    <row r="135" ht="15.75" customHeight="1" s="1" customFormat="1" x14ac:dyDescent="0.25"/>
    <row r="136" ht="15.75" customHeight="1" s="1" customFormat="1" x14ac:dyDescent="0.25"/>
    <row r="137" ht="15.75" customHeight="1" s="1" customFormat="1" x14ac:dyDescent="0.25"/>
    <row r="138" ht="15.75" customHeight="1" s="1" customFormat="1" x14ac:dyDescent="0.25"/>
    <row r="139" ht="15.75" customHeight="1" s="1" customFormat="1" x14ac:dyDescent="0.25"/>
    <row r="140" ht="15.75" customHeight="1" s="1" customFormat="1" x14ac:dyDescent="0.25"/>
    <row r="141" ht="15.75" customHeight="1" s="1" customFormat="1" x14ac:dyDescent="0.25"/>
    <row r="142" ht="15.75" customHeight="1" s="1" customFormat="1" x14ac:dyDescent="0.25"/>
    <row r="143" ht="15.75" customHeight="1" s="1" customFormat="1" x14ac:dyDescent="0.25"/>
    <row r="144" ht="15.75" customHeight="1" s="1" customFormat="1" x14ac:dyDescent="0.25"/>
    <row r="145" ht="15.75" customHeight="1" s="1" customFormat="1" x14ac:dyDescent="0.25"/>
    <row r="146" ht="15.75" customHeight="1" s="1" customFormat="1" x14ac:dyDescent="0.25"/>
    <row r="147" ht="15.75" customHeight="1" s="1" customFormat="1" x14ac:dyDescent="0.25"/>
    <row r="148" ht="15.75" customHeight="1" s="1" customFormat="1" x14ac:dyDescent="0.25"/>
    <row r="149" ht="15.75" customHeight="1" s="1" customFormat="1" x14ac:dyDescent="0.25"/>
    <row r="150" ht="15.75" customHeight="1" s="1" customFormat="1" x14ac:dyDescent="0.25"/>
    <row r="151" ht="15.75" customHeight="1" s="1" customFormat="1" x14ac:dyDescent="0.25"/>
    <row r="152" ht="15.75" customHeight="1" s="1" customFormat="1" x14ac:dyDescent="0.25"/>
    <row r="153" ht="15.75" customHeight="1" s="1" customFormat="1" x14ac:dyDescent="0.25"/>
    <row r="154" ht="15.75" customHeight="1" s="1" customFormat="1" x14ac:dyDescent="0.25"/>
    <row r="155" ht="15.75" customHeight="1" s="1" customFormat="1" x14ac:dyDescent="0.25"/>
    <row r="156" ht="15.75" customHeight="1" s="1" customFormat="1" x14ac:dyDescent="0.25"/>
    <row r="157" ht="15.75" customHeight="1" s="1" customFormat="1" x14ac:dyDescent="0.25"/>
    <row r="158" ht="15.75" customHeight="1" s="1" customFormat="1" x14ac:dyDescent="0.25"/>
    <row r="159" ht="15.75" customHeight="1" s="1" customFormat="1" x14ac:dyDescent="0.25"/>
    <row r="160" ht="15.75" customHeight="1" s="1" customFormat="1" x14ac:dyDescent="0.25"/>
    <row r="161" ht="15.75" customHeight="1" s="1" customFormat="1" x14ac:dyDescent="0.25"/>
    <row r="162" ht="15.75" customHeight="1" s="1" customFormat="1" x14ac:dyDescent="0.25"/>
    <row r="163" ht="15.75" customHeight="1" s="1" customFormat="1" x14ac:dyDescent="0.25"/>
    <row r="164" ht="15.75" customHeight="1" s="1" customFormat="1" x14ac:dyDescent="0.25"/>
    <row r="165" ht="15.75" customHeight="1" s="1" customFormat="1" x14ac:dyDescent="0.25"/>
    <row r="166" ht="15.75" customHeight="1" s="1" customFormat="1" x14ac:dyDescent="0.25"/>
    <row r="167" ht="15.75" customHeight="1" s="1" customFormat="1" x14ac:dyDescent="0.25"/>
    <row r="168" ht="15.75" customHeight="1" s="1" customFormat="1" x14ac:dyDescent="0.25"/>
    <row r="169" ht="15.75" customHeight="1" s="1" customFormat="1" x14ac:dyDescent="0.25"/>
    <row r="170" ht="15.75" customHeight="1" s="1" customFormat="1" x14ac:dyDescent="0.25"/>
    <row r="171" ht="15.75" customHeight="1" s="1" customFormat="1" x14ac:dyDescent="0.25"/>
    <row r="172" ht="15.75" customHeight="1" s="1" customFormat="1" x14ac:dyDescent="0.25"/>
    <row r="173" ht="15.75" customHeight="1" s="1" customFormat="1" x14ac:dyDescent="0.25"/>
    <row r="174" ht="15.75" customHeight="1" s="1" customFormat="1" x14ac:dyDescent="0.25"/>
    <row r="175" ht="15.75" customHeight="1" s="1" customFormat="1" x14ac:dyDescent="0.25"/>
    <row r="176" ht="15.75" customHeight="1" s="1" customFormat="1" x14ac:dyDescent="0.25"/>
    <row r="177" ht="15.75" customHeight="1" s="1" customFormat="1" x14ac:dyDescent="0.25"/>
    <row r="178" ht="15.75" customHeight="1" s="1" customFormat="1" x14ac:dyDescent="0.25"/>
    <row r="179" ht="15.75" customHeight="1" s="1" customFormat="1" x14ac:dyDescent="0.25"/>
    <row r="180" ht="15.75" customHeight="1" s="1" customFormat="1" x14ac:dyDescent="0.25"/>
    <row r="181" ht="15.75" customHeight="1" s="1" customFormat="1" x14ac:dyDescent="0.25"/>
    <row r="182" ht="15.75" customHeight="1" s="1" customFormat="1" x14ac:dyDescent="0.25"/>
    <row r="183" ht="15.75" customHeight="1" s="1" customFormat="1" x14ac:dyDescent="0.25"/>
    <row r="184" ht="15.75" customHeight="1" s="1" customFormat="1" x14ac:dyDescent="0.25"/>
    <row r="185" ht="15.75" customHeight="1" s="1" customFormat="1" x14ac:dyDescent="0.25"/>
    <row r="186" ht="15.75" customHeight="1" s="1" customFormat="1" x14ac:dyDescent="0.25"/>
    <row r="187" ht="15.75" customHeight="1" s="1" customFormat="1" x14ac:dyDescent="0.25"/>
    <row r="188" ht="15.75" customHeight="1" s="1" customFormat="1" x14ac:dyDescent="0.25"/>
    <row r="189" ht="15.75" customHeight="1" s="1" customFormat="1" x14ac:dyDescent="0.25"/>
    <row r="190" ht="15.75" customHeight="1" s="1" customFormat="1" x14ac:dyDescent="0.25"/>
    <row r="191" ht="15.75" customHeight="1" s="1" customFormat="1" x14ac:dyDescent="0.25"/>
    <row r="192" ht="15.75" customHeight="1" s="1" customFormat="1" x14ac:dyDescent="0.25"/>
    <row r="193" ht="15.75" customHeight="1" s="1" customFormat="1" x14ac:dyDescent="0.25"/>
    <row r="194" ht="15.75" customHeight="1" s="1" customFormat="1" x14ac:dyDescent="0.25"/>
    <row r="195" ht="15.75" customHeight="1" s="1" customFormat="1" x14ac:dyDescent="0.25"/>
    <row r="196" ht="15.75" customHeight="1" s="1" customFormat="1" x14ac:dyDescent="0.25"/>
    <row r="197" ht="15.75" customHeight="1" s="1" customFormat="1" x14ac:dyDescent="0.25"/>
    <row r="198" ht="15.75" customHeight="1" s="1" customFormat="1" x14ac:dyDescent="0.25"/>
    <row r="199" ht="15.75" customHeight="1" s="1" customFormat="1" x14ac:dyDescent="0.25"/>
    <row r="200" ht="15.75" customHeight="1" s="1" customFormat="1" x14ac:dyDescent="0.25"/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9">
    <mergeCell ref="A1:H1"/>
    <mergeCell ref="A2:H2"/>
    <mergeCell ref="A3:H3"/>
    <mergeCell ref="A4:C4"/>
    <mergeCell ref="A6:H6"/>
    <mergeCell ref="A38:E38"/>
    <mergeCell ref="A40:H40"/>
    <mergeCell ref="A72:E72"/>
    <mergeCell ref="A75:E75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2" style="1" customWidth="1"/>
    <col min="2" max="2" width="30" style="1" customWidth="1"/>
    <col min="3" max="3" width="24" style="1" customWidth="1"/>
    <col min="4" max="4" width="22" style="1" customWidth="1"/>
    <col min="5" max="6" width="13" style="1" customWidth="1"/>
    <col min="7" max="8" width="12" style="1" customWidth="1"/>
    <col min="9" max="9" width="22" style="1" customWidth="1"/>
    <col min="10" max="26" width="8.71" style="1" customWidth="1"/>
  </cols>
  <sheetData>
    <row r="1" ht="27.75" customHeight="1" spans="1:9" s="1" customForma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s="1" customFormat="1" x14ac:dyDescent="0.25">
      <c r="A2" s="8" t="s">
        <v>158</v>
      </c>
      <c r="B2" s="1"/>
      <c r="C2" s="1"/>
      <c r="D2" s="1"/>
      <c r="E2" s="1"/>
      <c r="F2" s="1"/>
      <c r="G2" s="1"/>
      <c r="H2" s="1"/>
      <c r="I2" s="1"/>
    </row>
    <row r="3" ht="18" customHeight="1" spans="1:9" s="1" customFormat="1" x14ac:dyDescent="0.25">
      <c r="A3" s="9" t="s">
        <v>159</v>
      </c>
      <c r="B3" s="1"/>
      <c r="C3" s="1"/>
      <c r="D3" s="1"/>
      <c r="E3" s="1"/>
      <c r="F3" s="1"/>
      <c r="G3" s="1"/>
      <c r="H3" s="1"/>
      <c r="I3" s="1"/>
    </row>
    <row r="4" ht="31.5" customHeight="1" spans="1:9" s="1" customFormat="1" x14ac:dyDescent="0.25">
      <c r="A4" s="22" t="s">
        <v>160</v>
      </c>
      <c r="B4" s="22" t="s">
        <v>55</v>
      </c>
      <c r="C4" s="22" t="s">
        <v>95</v>
      </c>
      <c r="D4" s="22" t="s">
        <v>114</v>
      </c>
      <c r="E4" s="22" t="s">
        <v>56</v>
      </c>
      <c r="F4" s="22" t="s">
        <v>161</v>
      </c>
      <c r="G4" s="22" t="s">
        <v>162</v>
      </c>
      <c r="H4" s="22" t="s">
        <v>103</v>
      </c>
      <c r="I4" s="22" t="s">
        <v>73</v>
      </c>
    </row>
    <row r="5" spans="1:9" x14ac:dyDescent="0.25">
      <c r="A5" s="64">
        <v>46167.625</v>
      </c>
      <c r="B5" s="38" t="s">
        <v>154</v>
      </c>
      <c r="C5" s="38" t="s">
        <v>152</v>
      </c>
      <c r="D5" s="38" t="s">
        <v>119</v>
      </c>
      <c r="E5" s="39">
        <v>15000</v>
      </c>
      <c r="F5" s="39">
        <v>15000</v>
      </c>
      <c r="G5" s="78">
        <v>46156.625</v>
      </c>
      <c r="H5" s="38" t="s">
        <v>135</v>
      </c>
      <c r="I5" s="38" t="s">
        <v>153</v>
      </c>
    </row>
    <row r="6" spans="1:9" x14ac:dyDescent="0.25">
      <c r="A6" s="65"/>
      <c r="B6" s="44"/>
      <c r="C6" s="44"/>
      <c r="D6" s="44"/>
      <c r="E6" s="45"/>
      <c r="F6" s="45"/>
      <c r="G6" s="65"/>
      <c r="H6" s="44"/>
      <c r="I6" s="44"/>
    </row>
    <row r="7" spans="1:9" x14ac:dyDescent="0.25">
      <c r="A7" s="64"/>
      <c r="B7" s="38"/>
      <c r="C7" s="38"/>
      <c r="D7" s="38"/>
      <c r="E7" s="39"/>
      <c r="F7" s="39"/>
      <c r="G7" s="64"/>
      <c r="H7" s="38"/>
      <c r="I7" s="38"/>
    </row>
    <row r="8" spans="1:9" x14ac:dyDescent="0.25">
      <c r="A8" s="65"/>
      <c r="B8" s="44"/>
      <c r="C8" s="44"/>
      <c r="D8" s="44"/>
      <c r="E8" s="45"/>
      <c r="F8" s="45"/>
      <c r="G8" s="75"/>
      <c r="H8" s="44"/>
      <c r="I8" s="44"/>
    </row>
    <row r="9" spans="1:9" x14ac:dyDescent="0.25">
      <c r="A9" s="64"/>
      <c r="B9" s="38"/>
      <c r="C9" s="38"/>
      <c r="D9" s="38"/>
      <c r="E9" s="39"/>
      <c r="F9" s="39"/>
      <c r="G9" s="78"/>
      <c r="H9" s="38"/>
      <c r="I9" s="38"/>
    </row>
    <row r="10" spans="1:9" x14ac:dyDescent="0.25">
      <c r="A10" s="65"/>
      <c r="B10" s="44"/>
      <c r="C10" s="44"/>
      <c r="D10" s="44"/>
      <c r="E10" s="45"/>
      <c r="F10" s="45"/>
      <c r="G10" s="75"/>
      <c r="H10" s="44"/>
      <c r="I10" s="44"/>
    </row>
    <row r="11" spans="1:9" x14ac:dyDescent="0.25">
      <c r="A11" s="67"/>
      <c r="B11" s="50"/>
      <c r="C11" s="50"/>
      <c r="D11" s="50"/>
      <c r="E11" s="51"/>
      <c r="F11" s="51"/>
      <c r="G11" s="67"/>
      <c r="H11" s="50"/>
      <c r="I11" s="50"/>
    </row>
    <row r="12" spans="1:9" x14ac:dyDescent="0.25">
      <c r="A12" s="66"/>
      <c r="B12" s="57"/>
      <c r="C12" s="57"/>
      <c r="D12" s="57"/>
      <c r="E12" s="58"/>
      <c r="F12" s="58"/>
      <c r="G12" s="66"/>
      <c r="H12" s="57"/>
      <c r="I12" s="57"/>
    </row>
    <row r="13" spans="1:9" x14ac:dyDescent="0.25">
      <c r="A13" s="67"/>
      <c r="B13" s="50"/>
      <c r="C13" s="50"/>
      <c r="D13" s="50"/>
      <c r="E13" s="51"/>
      <c r="F13" s="51"/>
      <c r="G13" s="67"/>
      <c r="H13" s="50"/>
      <c r="I13" s="50"/>
    </row>
    <row r="14" spans="1:9" x14ac:dyDescent="0.25">
      <c r="A14" s="66"/>
      <c r="B14" s="57"/>
      <c r="C14" s="57"/>
      <c r="D14" s="57"/>
      <c r="E14" s="58"/>
      <c r="F14" s="58"/>
      <c r="G14" s="66"/>
      <c r="H14" s="57"/>
      <c r="I14" s="57"/>
    </row>
    <row r="15" spans="1:9" x14ac:dyDescent="0.25">
      <c r="A15" s="67"/>
      <c r="B15" s="50"/>
      <c r="C15" s="50"/>
      <c r="D15" s="50"/>
      <c r="E15" s="51"/>
      <c r="F15" s="51"/>
      <c r="G15" s="67"/>
      <c r="H15" s="50"/>
      <c r="I15" s="50"/>
    </row>
    <row r="16" spans="1:9" x14ac:dyDescent="0.25">
      <c r="A16" s="66"/>
      <c r="B16" s="57"/>
      <c r="C16" s="57"/>
      <c r="D16" s="57"/>
      <c r="E16" s="58"/>
      <c r="F16" s="58"/>
      <c r="G16" s="66"/>
      <c r="H16" s="57"/>
      <c r="I16" s="57"/>
    </row>
    <row r="17" spans="1:9" x14ac:dyDescent="0.25">
      <c r="A17" s="67"/>
      <c r="B17" s="50"/>
      <c r="C17" s="50"/>
      <c r="D17" s="50"/>
      <c r="E17" s="51"/>
      <c r="F17" s="51"/>
      <c r="G17" s="67"/>
      <c r="H17" s="50"/>
      <c r="I17" s="50"/>
    </row>
    <row r="18" spans="1:9" x14ac:dyDescent="0.25">
      <c r="A18" s="66"/>
      <c r="B18" s="57"/>
      <c r="C18" s="57"/>
      <c r="D18" s="57"/>
      <c r="E18" s="58"/>
      <c r="F18" s="58"/>
      <c r="G18" s="66"/>
      <c r="H18" s="57"/>
      <c r="I18" s="57"/>
    </row>
    <row r="19" spans="1:9" x14ac:dyDescent="0.25">
      <c r="A19" s="67"/>
      <c r="B19" s="50"/>
      <c r="C19" s="50"/>
      <c r="D19" s="50"/>
      <c r="E19" s="51"/>
      <c r="F19" s="51"/>
      <c r="G19" s="67"/>
      <c r="H19" s="50"/>
      <c r="I19" s="50"/>
    </row>
    <row r="20" spans="1:9" x14ac:dyDescent="0.25">
      <c r="A20" s="66"/>
      <c r="B20" s="57"/>
      <c r="C20" s="57"/>
      <c r="D20" s="57"/>
      <c r="E20" s="58"/>
      <c r="F20" s="58"/>
      <c r="G20" s="66"/>
      <c r="H20" s="57"/>
      <c r="I20" s="57"/>
    </row>
    <row r="21" ht="15.75" customHeight="1" spans="1:9" s="1" customFormat="1" x14ac:dyDescent="0.25">
      <c r="A21" s="67"/>
      <c r="B21" s="50"/>
      <c r="C21" s="50"/>
      <c r="D21" s="50"/>
      <c r="E21" s="51"/>
      <c r="F21" s="51"/>
      <c r="G21" s="67"/>
      <c r="H21" s="50"/>
      <c r="I21" s="50"/>
    </row>
    <row r="22" ht="15.75" customHeight="1" spans="1:9" s="1" customFormat="1" x14ac:dyDescent="0.25">
      <c r="A22" s="66"/>
      <c r="B22" s="57"/>
      <c r="C22" s="57"/>
      <c r="D22" s="57"/>
      <c r="E22" s="58"/>
      <c r="F22" s="58"/>
      <c r="G22" s="66"/>
      <c r="H22" s="57"/>
      <c r="I22" s="57"/>
    </row>
    <row r="23" ht="15.75" customHeight="1" spans="1:9" s="1" customFormat="1" x14ac:dyDescent="0.25">
      <c r="A23" s="67"/>
      <c r="B23" s="50"/>
      <c r="C23" s="50"/>
      <c r="D23" s="50"/>
      <c r="E23" s="51"/>
      <c r="F23" s="51"/>
      <c r="G23" s="67"/>
      <c r="H23" s="50"/>
      <c r="I23" s="50"/>
    </row>
    <row r="24" ht="15.75" customHeight="1" spans="1:9" s="1" customFormat="1" x14ac:dyDescent="0.25">
      <c r="A24" s="66"/>
      <c r="B24" s="57"/>
      <c r="C24" s="57"/>
      <c r="D24" s="57"/>
      <c r="E24" s="58"/>
      <c r="F24" s="58"/>
      <c r="G24" s="66"/>
      <c r="H24" s="57"/>
      <c r="I24" s="57"/>
    </row>
    <row r="25" ht="15.75" customHeight="1" spans="1:9" s="1" customFormat="1" x14ac:dyDescent="0.25">
      <c r="A25" s="67"/>
      <c r="B25" s="50"/>
      <c r="C25" s="50"/>
      <c r="D25" s="50"/>
      <c r="E25" s="51"/>
      <c r="F25" s="51"/>
      <c r="G25" s="67"/>
      <c r="H25" s="50"/>
      <c r="I25" s="50"/>
    </row>
    <row r="26" ht="15.75" customHeight="1" spans="1:9" s="1" customFormat="1" x14ac:dyDescent="0.25">
      <c r="A26" s="66"/>
      <c r="B26" s="57"/>
      <c r="C26" s="57"/>
      <c r="D26" s="57"/>
      <c r="E26" s="58"/>
      <c r="F26" s="58"/>
      <c r="G26" s="66"/>
      <c r="H26" s="57"/>
      <c r="I26" s="57"/>
    </row>
    <row r="27" ht="15.75" customHeight="1" spans="1:9" s="1" customFormat="1" x14ac:dyDescent="0.25">
      <c r="A27" s="67"/>
      <c r="B27" s="50"/>
      <c r="C27" s="50"/>
      <c r="D27" s="50"/>
      <c r="E27" s="51"/>
      <c r="F27" s="51"/>
      <c r="G27" s="67"/>
      <c r="H27" s="50"/>
      <c r="I27" s="50"/>
    </row>
    <row r="28" ht="15.75" customHeight="1" spans="1:9" s="1" customFormat="1" x14ac:dyDescent="0.25">
      <c r="A28" s="66"/>
      <c r="B28" s="57"/>
      <c r="C28" s="57"/>
      <c r="D28" s="57"/>
      <c r="E28" s="58"/>
      <c r="F28" s="58"/>
      <c r="G28" s="66"/>
      <c r="H28" s="57"/>
      <c r="I28" s="57"/>
    </row>
    <row r="29" ht="15.75" customHeight="1" spans="1:9" s="1" customFormat="1" x14ac:dyDescent="0.25">
      <c r="A29" s="67"/>
      <c r="B29" s="50"/>
      <c r="C29" s="50"/>
      <c r="D29" s="50"/>
      <c r="E29" s="51"/>
      <c r="F29" s="51"/>
      <c r="G29" s="67"/>
      <c r="H29" s="50"/>
      <c r="I29" s="50"/>
    </row>
    <row r="30" ht="15.75" customHeight="1" spans="1:9" s="1" customFormat="1" x14ac:dyDescent="0.25">
      <c r="A30" s="66"/>
      <c r="B30" s="57"/>
      <c r="C30" s="57"/>
      <c r="D30" s="57"/>
      <c r="E30" s="58"/>
      <c r="F30" s="58"/>
      <c r="G30" s="66"/>
      <c r="H30" s="57"/>
      <c r="I30" s="57"/>
    </row>
    <row r="31" ht="15.75" customHeight="1" spans="1:9" s="1" customFormat="1" x14ac:dyDescent="0.25">
      <c r="A31" s="67"/>
      <c r="B31" s="50"/>
      <c r="C31" s="50"/>
      <c r="D31" s="50"/>
      <c r="E31" s="51"/>
      <c r="F31" s="51"/>
      <c r="G31" s="67"/>
      <c r="H31" s="50"/>
      <c r="I31" s="50"/>
    </row>
    <row r="32" ht="15.75" customHeight="1" spans="1:9" s="1" customFormat="1" x14ac:dyDescent="0.25">
      <c r="A32" s="66"/>
      <c r="B32" s="57"/>
      <c r="C32" s="57"/>
      <c r="D32" s="57"/>
      <c r="E32" s="58"/>
      <c r="F32" s="58"/>
      <c r="G32" s="66"/>
      <c r="H32" s="57"/>
      <c r="I32" s="57"/>
    </row>
    <row r="33" ht="15.75" customHeight="1" spans="1:9" s="1" customFormat="1" x14ac:dyDescent="0.25">
      <c r="A33" s="67"/>
      <c r="B33" s="50"/>
      <c r="C33" s="50"/>
      <c r="D33" s="50"/>
      <c r="E33" s="51"/>
      <c r="F33" s="51"/>
      <c r="G33" s="67"/>
      <c r="H33" s="50"/>
      <c r="I33" s="50"/>
    </row>
    <row r="34" ht="15.75" customHeight="1" spans="1:9" s="1" customFormat="1" x14ac:dyDescent="0.25">
      <c r="A34" s="66"/>
      <c r="B34" s="57"/>
      <c r="C34" s="57"/>
      <c r="D34" s="57"/>
      <c r="E34" s="58"/>
      <c r="F34" s="58"/>
      <c r="G34" s="66"/>
      <c r="H34" s="57"/>
      <c r="I34" s="57"/>
    </row>
    <row r="35" ht="15.75" customHeight="1" spans="1:9" s="1" customFormat="1" x14ac:dyDescent="0.25">
      <c r="A35" s="67"/>
      <c r="B35" s="50"/>
      <c r="C35" s="50"/>
      <c r="D35" s="50"/>
      <c r="E35" s="51"/>
      <c r="F35" s="51"/>
      <c r="G35" s="67"/>
      <c r="H35" s="50"/>
      <c r="I35" s="50"/>
    </row>
    <row r="36" ht="15.75" customHeight="1" spans="1:9" s="1" customFormat="1" x14ac:dyDescent="0.25">
      <c r="A36" s="66"/>
      <c r="B36" s="57"/>
      <c r="C36" s="57"/>
      <c r="D36" s="57"/>
      <c r="E36" s="58"/>
      <c r="F36" s="58"/>
      <c r="G36" s="66"/>
      <c r="H36" s="57"/>
      <c r="I36" s="57"/>
    </row>
    <row r="37" ht="15.75" customHeight="1" spans="1:9" s="1" customFormat="1" x14ac:dyDescent="0.25">
      <c r="A37" s="67"/>
      <c r="B37" s="50"/>
      <c r="C37" s="50"/>
      <c r="D37" s="50"/>
      <c r="E37" s="51"/>
      <c r="F37" s="51"/>
      <c r="G37" s="67"/>
      <c r="H37" s="50"/>
      <c r="I37" s="50"/>
    </row>
    <row r="38" ht="15.75" customHeight="1" spans="1:9" s="1" customFormat="1" x14ac:dyDescent="0.25">
      <c r="A38" s="66"/>
      <c r="B38" s="57"/>
      <c r="C38" s="57"/>
      <c r="D38" s="57"/>
      <c r="E38" s="58"/>
      <c r="F38" s="58"/>
      <c r="G38" s="66"/>
      <c r="H38" s="57"/>
      <c r="I38" s="57"/>
    </row>
    <row r="39" ht="15.75" customHeight="1" spans="1:9" s="1" customFormat="1" x14ac:dyDescent="0.25">
      <c r="A39" s="67"/>
      <c r="B39" s="50"/>
      <c r="C39" s="50"/>
      <c r="D39" s="50"/>
      <c r="E39" s="51"/>
      <c r="F39" s="51"/>
      <c r="G39" s="67"/>
      <c r="H39" s="50"/>
      <c r="I39" s="50"/>
    </row>
    <row r="40" ht="15.75" customHeight="1" spans="1:9" s="1" customFormat="1" x14ac:dyDescent="0.25">
      <c r="A40" s="66"/>
      <c r="B40" s="57"/>
      <c r="C40" s="57"/>
      <c r="D40" s="57"/>
      <c r="E40" s="58"/>
      <c r="F40" s="58"/>
      <c r="G40" s="66"/>
      <c r="H40" s="57"/>
      <c r="I40" s="57"/>
    </row>
    <row r="41" ht="15.75" customHeight="1" spans="1:9" s="1" customFormat="1" x14ac:dyDescent="0.25">
      <c r="A41" s="67"/>
      <c r="B41" s="50"/>
      <c r="C41" s="50"/>
      <c r="D41" s="50"/>
      <c r="E41" s="51"/>
      <c r="F41" s="51"/>
      <c r="G41" s="67"/>
      <c r="H41" s="50"/>
      <c r="I41" s="50"/>
    </row>
    <row r="42" ht="15.75" customHeight="1" spans="1:9" s="1" customFormat="1" x14ac:dyDescent="0.25">
      <c r="A42" s="66"/>
      <c r="B42" s="57"/>
      <c r="C42" s="57"/>
      <c r="D42" s="57"/>
      <c r="E42" s="58"/>
      <c r="F42" s="58"/>
      <c r="G42" s="66"/>
      <c r="H42" s="57"/>
      <c r="I42" s="57"/>
    </row>
    <row r="43" ht="15.75" customHeight="1" spans="1:9" s="1" customFormat="1" x14ac:dyDescent="0.25">
      <c r="A43" s="67"/>
      <c r="B43" s="50"/>
      <c r="C43" s="50"/>
      <c r="D43" s="50"/>
      <c r="E43" s="51"/>
      <c r="F43" s="51"/>
      <c r="G43" s="67"/>
      <c r="H43" s="50"/>
      <c r="I43" s="50"/>
    </row>
    <row r="44" ht="15.75" customHeight="1" spans="1:9" s="1" customFormat="1" x14ac:dyDescent="0.25">
      <c r="A44" s="66"/>
      <c r="B44" s="57"/>
      <c r="C44" s="57"/>
      <c r="D44" s="57"/>
      <c r="E44" s="58"/>
      <c r="F44" s="58"/>
      <c r="G44" s="66"/>
      <c r="H44" s="57"/>
      <c r="I44" s="57"/>
    </row>
    <row r="45" ht="15.75" customHeight="1" spans="1:9" s="1" customFormat="1" x14ac:dyDescent="0.25">
      <c r="A45" s="67"/>
      <c r="B45" s="50"/>
      <c r="C45" s="50"/>
      <c r="D45" s="50"/>
      <c r="E45" s="51"/>
      <c r="F45" s="51"/>
      <c r="G45" s="67"/>
      <c r="H45" s="50"/>
      <c r="I45" s="50"/>
    </row>
    <row r="46" ht="15.75" customHeight="1" spans="1:9" s="1" customFormat="1" x14ac:dyDescent="0.25">
      <c r="A46" s="66"/>
      <c r="B46" s="57"/>
      <c r="C46" s="57"/>
      <c r="D46" s="57"/>
      <c r="E46" s="58"/>
      <c r="F46" s="58"/>
      <c r="G46" s="66"/>
      <c r="H46" s="57"/>
      <c r="I46" s="57"/>
    </row>
    <row r="47" ht="15.75" customHeight="1" spans="1:9" s="1" customFormat="1" x14ac:dyDescent="0.25">
      <c r="A47" s="67"/>
      <c r="B47" s="50"/>
      <c r="C47" s="50"/>
      <c r="D47" s="50"/>
      <c r="E47" s="51"/>
      <c r="F47" s="51"/>
      <c r="G47" s="67"/>
      <c r="H47" s="50"/>
      <c r="I47" s="50"/>
    </row>
    <row r="48" ht="15.75" customHeight="1" spans="1:9" s="1" customFormat="1" x14ac:dyDescent="0.25">
      <c r="A48" s="66"/>
      <c r="B48" s="57"/>
      <c r="C48" s="57"/>
      <c r="D48" s="57"/>
      <c r="E48" s="58"/>
      <c r="F48" s="58"/>
      <c r="G48" s="66"/>
      <c r="H48" s="57"/>
      <c r="I48" s="57"/>
    </row>
    <row r="49" ht="15.75" customHeight="1" spans="1:9" s="1" customFormat="1" x14ac:dyDescent="0.25">
      <c r="A49" s="67"/>
      <c r="B49" s="50"/>
      <c r="C49" s="50"/>
      <c r="D49" s="50"/>
      <c r="E49" s="51"/>
      <c r="F49" s="51"/>
      <c r="G49" s="67"/>
      <c r="H49" s="50"/>
      <c r="I49" s="50"/>
    </row>
    <row r="50" ht="15.75" customHeight="1" spans="1:9" s="1" customFormat="1" x14ac:dyDescent="0.25">
      <c r="A50" s="66"/>
      <c r="B50" s="57"/>
      <c r="C50" s="57"/>
      <c r="D50" s="57"/>
      <c r="E50" s="58"/>
      <c r="F50" s="58"/>
      <c r="G50" s="66"/>
      <c r="H50" s="57"/>
      <c r="I50" s="57"/>
    </row>
    <row r="51" ht="15.75" customHeight="1" spans="1:9" s="1" customFormat="1" x14ac:dyDescent="0.25">
      <c r="A51" s="67"/>
      <c r="B51" s="50"/>
      <c r="C51" s="50"/>
      <c r="D51" s="50"/>
      <c r="E51" s="51"/>
      <c r="F51" s="51"/>
      <c r="G51" s="67"/>
      <c r="H51" s="50"/>
      <c r="I51" s="50"/>
    </row>
    <row r="52" ht="15.75" customHeight="1" spans="1:9" s="1" customFormat="1" x14ac:dyDescent="0.25">
      <c r="A52" s="66"/>
      <c r="B52" s="57"/>
      <c r="C52" s="57"/>
      <c r="D52" s="57"/>
      <c r="E52" s="58"/>
      <c r="F52" s="58"/>
      <c r="G52" s="66"/>
      <c r="H52" s="57"/>
      <c r="I52" s="57"/>
    </row>
    <row r="53" ht="15.75" customHeight="1" spans="1:9" s="1" customFormat="1" x14ac:dyDescent="0.25">
      <c r="A53" s="67"/>
      <c r="B53" s="50"/>
      <c r="C53" s="50"/>
      <c r="D53" s="50"/>
      <c r="E53" s="51"/>
      <c r="F53" s="51"/>
      <c r="G53" s="67"/>
      <c r="H53" s="50"/>
      <c r="I53" s="50"/>
    </row>
    <row r="54" ht="15.75" customHeight="1" spans="1:9" s="1" customFormat="1" x14ac:dyDescent="0.25">
      <c r="A54" s="66"/>
      <c r="B54" s="57"/>
      <c r="C54" s="57"/>
      <c r="D54" s="57"/>
      <c r="E54" s="58"/>
      <c r="F54" s="58"/>
      <c r="G54" s="66"/>
      <c r="H54" s="57"/>
      <c r="I54" s="57"/>
    </row>
    <row r="55" ht="15.75" customHeight="1" spans="1:9" s="1" customFormat="1" x14ac:dyDescent="0.25">
      <c r="A55" s="67"/>
      <c r="B55" s="50"/>
      <c r="C55" s="50"/>
      <c r="D55" s="50"/>
      <c r="E55" s="51"/>
      <c r="F55" s="51"/>
      <c r="G55" s="67"/>
      <c r="H55" s="50"/>
      <c r="I55" s="50"/>
    </row>
    <row r="56" ht="15.75" customHeight="1" spans="1:9" s="1" customFormat="1" x14ac:dyDescent="0.25">
      <c r="A56" s="66"/>
      <c r="B56" s="57"/>
      <c r="C56" s="57"/>
      <c r="D56" s="57"/>
      <c r="E56" s="58"/>
      <c r="F56" s="58"/>
      <c r="G56" s="66"/>
      <c r="H56" s="57"/>
      <c r="I56" s="57"/>
    </row>
    <row r="57" ht="15.75" customHeight="1" spans="1:9" s="1" customFormat="1" x14ac:dyDescent="0.25">
      <c r="A57" s="67"/>
      <c r="B57" s="50"/>
      <c r="C57" s="50"/>
      <c r="D57" s="50"/>
      <c r="E57" s="51"/>
      <c r="F57" s="51"/>
      <c r="G57" s="67"/>
      <c r="H57" s="50"/>
      <c r="I57" s="50"/>
    </row>
    <row r="58" ht="15.75" customHeight="1" spans="1:9" s="1" customFormat="1" x14ac:dyDescent="0.25">
      <c r="A58" s="66"/>
      <c r="B58" s="57"/>
      <c r="C58" s="57"/>
      <c r="D58" s="57"/>
      <c r="E58" s="58"/>
      <c r="F58" s="58"/>
      <c r="G58" s="66"/>
      <c r="H58" s="57"/>
      <c r="I58" s="57"/>
    </row>
    <row r="59" ht="15.75" customHeight="1" spans="1:9" s="1" customFormat="1" x14ac:dyDescent="0.25">
      <c r="A59" s="67"/>
      <c r="B59" s="50"/>
      <c r="C59" s="50"/>
      <c r="D59" s="50"/>
      <c r="E59" s="51"/>
      <c r="F59" s="51"/>
      <c r="G59" s="67"/>
      <c r="H59" s="50"/>
      <c r="I59" s="50"/>
    </row>
    <row r="60" ht="15.75" customHeight="1" spans="1:9" s="1" customFormat="1" x14ac:dyDescent="0.25">
      <c r="A60" s="66"/>
      <c r="B60" s="57"/>
      <c r="C60" s="57"/>
      <c r="D60" s="57"/>
      <c r="E60" s="58"/>
      <c r="F60" s="58"/>
      <c r="G60" s="66"/>
      <c r="H60" s="57"/>
      <c r="I60" s="57"/>
    </row>
    <row r="61" ht="15.75" customHeight="1" spans="1:9" s="1" customFormat="1" x14ac:dyDescent="0.25">
      <c r="A61" s="67"/>
      <c r="B61" s="50"/>
      <c r="C61" s="50"/>
      <c r="D61" s="50"/>
      <c r="E61" s="51"/>
      <c r="F61" s="51"/>
      <c r="G61" s="67"/>
      <c r="H61" s="50"/>
      <c r="I61" s="50"/>
    </row>
    <row r="62" ht="15.75" customHeight="1" spans="1:9" s="1" customFormat="1" x14ac:dyDescent="0.25">
      <c r="A62" s="66"/>
      <c r="B62" s="57"/>
      <c r="C62" s="57"/>
      <c r="D62" s="57"/>
      <c r="E62" s="58"/>
      <c r="F62" s="58"/>
      <c r="G62" s="66"/>
      <c r="H62" s="57"/>
      <c r="I62" s="57"/>
    </row>
    <row r="63" ht="15.75" customHeight="1" spans="1:9" s="1" customFormat="1" x14ac:dyDescent="0.25">
      <c r="A63" s="67"/>
      <c r="B63" s="50"/>
      <c r="C63" s="50"/>
      <c r="D63" s="50"/>
      <c r="E63" s="51"/>
      <c r="F63" s="51"/>
      <c r="G63" s="67"/>
      <c r="H63" s="50"/>
      <c r="I63" s="50"/>
    </row>
    <row r="64" ht="15.75" customHeight="1" spans="1:9" s="1" customFormat="1" x14ac:dyDescent="0.25">
      <c r="A64" s="66"/>
      <c r="B64" s="57"/>
      <c r="C64" s="57"/>
      <c r="D64" s="57"/>
      <c r="E64" s="58"/>
      <c r="F64" s="58"/>
      <c r="G64" s="66"/>
      <c r="H64" s="57"/>
      <c r="I64" s="57"/>
    </row>
    <row r="65" ht="15.75" customHeight="1" spans="1:9" s="1" customFormat="1" x14ac:dyDescent="0.25">
      <c r="A65" s="67"/>
      <c r="B65" s="50"/>
      <c r="C65" s="50"/>
      <c r="D65" s="50"/>
      <c r="E65" s="51"/>
      <c r="F65" s="51"/>
      <c r="G65" s="67"/>
      <c r="H65" s="50"/>
      <c r="I65" s="50"/>
    </row>
    <row r="66" ht="15.75" customHeight="1" spans="1:9" s="1" customFormat="1" x14ac:dyDescent="0.25">
      <c r="A66" s="66"/>
      <c r="B66" s="57"/>
      <c r="C66" s="57"/>
      <c r="D66" s="57"/>
      <c r="E66" s="58"/>
      <c r="F66" s="58"/>
      <c r="G66" s="66"/>
      <c r="H66" s="57"/>
      <c r="I66" s="57"/>
    </row>
    <row r="67" ht="15.75" customHeight="1" spans="1:9" s="1" customFormat="1" x14ac:dyDescent="0.25">
      <c r="A67" s="67"/>
      <c r="B67" s="50"/>
      <c r="C67" s="50"/>
      <c r="D67" s="50"/>
      <c r="E67" s="51"/>
      <c r="F67" s="51"/>
      <c r="G67" s="67"/>
      <c r="H67" s="50"/>
      <c r="I67" s="50"/>
    </row>
    <row r="68" ht="15.75" customHeight="1" spans="1:9" s="1" customFormat="1" x14ac:dyDescent="0.25">
      <c r="A68" s="66"/>
      <c r="B68" s="57"/>
      <c r="C68" s="57"/>
      <c r="D68" s="57"/>
      <c r="E68" s="58"/>
      <c r="F68" s="58"/>
      <c r="G68" s="66"/>
      <c r="H68" s="57"/>
      <c r="I68" s="57"/>
    </row>
    <row r="69" ht="15.75" customHeight="1" spans="1:9" s="1" customFormat="1" x14ac:dyDescent="0.25">
      <c r="A69" s="67"/>
      <c r="B69" s="50"/>
      <c r="C69" s="50"/>
      <c r="D69" s="50"/>
      <c r="E69" s="51"/>
      <c r="F69" s="51"/>
      <c r="G69" s="67"/>
      <c r="H69" s="50"/>
      <c r="I69" s="50"/>
    </row>
    <row r="70" ht="15.75" customHeight="1" spans="1:9" s="1" customFormat="1" x14ac:dyDescent="0.25">
      <c r="A70" s="66"/>
      <c r="B70" s="57"/>
      <c r="C70" s="57"/>
      <c r="D70" s="57"/>
      <c r="E70" s="58"/>
      <c r="F70" s="58"/>
      <c r="G70" s="66"/>
      <c r="H70" s="57"/>
      <c r="I70" s="57"/>
    </row>
    <row r="71" ht="15.75" customHeight="1" spans="1:9" s="1" customFormat="1" x14ac:dyDescent="0.25">
      <c r="A71" s="67"/>
      <c r="B71" s="50"/>
      <c r="C71" s="50"/>
      <c r="D71" s="50"/>
      <c r="E71" s="51"/>
      <c r="F71" s="51"/>
      <c r="G71" s="67"/>
      <c r="H71" s="50"/>
      <c r="I71" s="50"/>
    </row>
    <row r="72" ht="15.75" customHeight="1" spans="1:9" s="1" customFormat="1" x14ac:dyDescent="0.25">
      <c r="A72" s="66"/>
      <c r="B72" s="57"/>
      <c r="C72" s="57"/>
      <c r="D72" s="57"/>
      <c r="E72" s="58"/>
      <c r="F72" s="58"/>
      <c r="G72" s="66"/>
      <c r="H72" s="57"/>
      <c r="I72" s="57"/>
    </row>
    <row r="73" ht="15.75" customHeight="1" spans="1:9" s="1" customFormat="1" x14ac:dyDescent="0.25">
      <c r="A73" s="67"/>
      <c r="B73" s="50"/>
      <c r="C73" s="50"/>
      <c r="D73" s="50"/>
      <c r="E73" s="51"/>
      <c r="F73" s="51"/>
      <c r="G73" s="67"/>
      <c r="H73" s="50"/>
      <c r="I73" s="50"/>
    </row>
    <row r="74" ht="15.75" customHeight="1" spans="1:9" s="1" customFormat="1" x14ac:dyDescent="0.25">
      <c r="A74" s="66"/>
      <c r="B74" s="57"/>
      <c r="C74" s="57"/>
      <c r="D74" s="57"/>
      <c r="E74" s="58"/>
      <c r="F74" s="58"/>
      <c r="G74" s="66"/>
      <c r="H74" s="57"/>
      <c r="I74" s="57"/>
    </row>
    <row r="75" ht="15.75" customHeight="1" spans="1:9" s="1" customFormat="1" x14ac:dyDescent="0.25">
      <c r="A75" s="67"/>
      <c r="B75" s="50"/>
      <c r="C75" s="50"/>
      <c r="D75" s="50"/>
      <c r="E75" s="51"/>
      <c r="F75" s="51"/>
      <c r="G75" s="67"/>
      <c r="H75" s="50"/>
      <c r="I75" s="50"/>
    </row>
    <row r="76" ht="15.75" customHeight="1" spans="1:9" s="1" customFormat="1" x14ac:dyDescent="0.25">
      <c r="A76" s="66"/>
      <c r="B76" s="57"/>
      <c r="C76" s="57"/>
      <c r="D76" s="57"/>
      <c r="E76" s="58"/>
      <c r="F76" s="58"/>
      <c r="G76" s="66"/>
      <c r="H76" s="57"/>
      <c r="I76" s="57"/>
    </row>
    <row r="77" ht="15.75" customHeight="1" spans="1:9" s="1" customFormat="1" x14ac:dyDescent="0.25">
      <c r="A77" s="67"/>
      <c r="B77" s="50"/>
      <c r="C77" s="50"/>
      <c r="D77" s="50"/>
      <c r="E77" s="51"/>
      <c r="F77" s="51"/>
      <c r="G77" s="67"/>
      <c r="H77" s="50"/>
      <c r="I77" s="50"/>
    </row>
    <row r="78" ht="15.75" customHeight="1" spans="1:9" s="1" customFormat="1" x14ac:dyDescent="0.25">
      <c r="A78" s="66"/>
      <c r="B78" s="57"/>
      <c r="C78" s="57"/>
      <c r="D78" s="57"/>
      <c r="E78" s="58"/>
      <c r="F78" s="58"/>
      <c r="G78" s="66"/>
      <c r="H78" s="57"/>
      <c r="I78" s="57"/>
    </row>
    <row r="79" ht="15.75" customHeight="1" spans="1:9" s="1" customFormat="1" x14ac:dyDescent="0.25">
      <c r="A79" s="67"/>
      <c r="B79" s="50"/>
      <c r="C79" s="50"/>
      <c r="D79" s="50"/>
      <c r="E79" s="51"/>
      <c r="F79" s="51"/>
      <c r="G79" s="67"/>
      <c r="H79" s="50"/>
      <c r="I79" s="50"/>
    </row>
    <row r="80" ht="15.75" customHeight="1" spans="1:9" s="1" customFormat="1" x14ac:dyDescent="0.25">
      <c r="A80" s="66"/>
      <c r="B80" s="57"/>
      <c r="C80" s="57"/>
      <c r="D80" s="57"/>
      <c r="E80" s="58"/>
      <c r="F80" s="58"/>
      <c r="G80" s="66"/>
      <c r="H80" s="57"/>
      <c r="I80" s="57"/>
    </row>
    <row r="81" ht="15.75" customHeight="1" spans="1:9" s="1" customFormat="1" x14ac:dyDescent="0.25">
      <c r="A81" s="67"/>
      <c r="B81" s="50"/>
      <c r="C81" s="50"/>
      <c r="D81" s="50"/>
      <c r="E81" s="51"/>
      <c r="F81" s="51"/>
      <c r="G81" s="67"/>
      <c r="H81" s="50"/>
      <c r="I81" s="50"/>
    </row>
    <row r="82" ht="15.75" customHeight="1" spans="1:9" s="1" customFormat="1" x14ac:dyDescent="0.25">
      <c r="A82" s="66"/>
      <c r="B82" s="57"/>
      <c r="C82" s="57"/>
      <c r="D82" s="57"/>
      <c r="E82" s="58"/>
      <c r="F82" s="58"/>
      <c r="G82" s="66"/>
      <c r="H82" s="57"/>
      <c r="I82" s="57"/>
    </row>
    <row r="83" ht="15.75" customHeight="1" spans="1:9" s="1" customFormat="1" x14ac:dyDescent="0.25">
      <c r="A83" s="67"/>
      <c r="B83" s="50"/>
      <c r="C83" s="50"/>
      <c r="D83" s="50"/>
      <c r="E83" s="51"/>
      <c r="F83" s="51"/>
      <c r="G83" s="67"/>
      <c r="H83" s="50"/>
      <c r="I83" s="50"/>
    </row>
    <row r="84" ht="15.75" customHeight="1" spans="1:9" s="1" customFormat="1" x14ac:dyDescent="0.25">
      <c r="A84" s="66"/>
      <c r="B84" s="57"/>
      <c r="C84" s="57"/>
      <c r="D84" s="57"/>
      <c r="E84" s="58"/>
      <c r="F84" s="58"/>
      <c r="G84" s="66"/>
      <c r="H84" s="57"/>
      <c r="I84" s="57"/>
    </row>
    <row r="85" ht="15.75" customHeight="1" spans="1:9" s="1" customFormat="1" x14ac:dyDescent="0.25">
      <c r="A85" s="67"/>
      <c r="B85" s="50"/>
      <c r="C85" s="50"/>
      <c r="D85" s="50"/>
      <c r="E85" s="51"/>
      <c r="F85" s="51"/>
      <c r="G85" s="67"/>
      <c r="H85" s="50"/>
      <c r="I85" s="50"/>
    </row>
    <row r="86" ht="15.75" customHeight="1" spans="1:9" s="1" customFormat="1" x14ac:dyDescent="0.25">
      <c r="A86" s="66"/>
      <c r="B86" s="57"/>
      <c r="C86" s="57"/>
      <c r="D86" s="57"/>
      <c r="E86" s="58"/>
      <c r="F86" s="58"/>
      <c r="G86" s="66"/>
      <c r="H86" s="57"/>
      <c r="I86" s="57"/>
    </row>
    <row r="87" ht="15.75" customHeight="1" spans="1:9" s="1" customFormat="1" x14ac:dyDescent="0.25">
      <c r="A87" s="67"/>
      <c r="B87" s="50"/>
      <c r="C87" s="50"/>
      <c r="D87" s="50"/>
      <c r="E87" s="51"/>
      <c r="F87" s="51"/>
      <c r="G87" s="67"/>
      <c r="H87" s="50"/>
      <c r="I87" s="50"/>
    </row>
    <row r="88" ht="15.75" customHeight="1" spans="1:9" s="1" customFormat="1" x14ac:dyDescent="0.25">
      <c r="A88" s="66"/>
      <c r="B88" s="57"/>
      <c r="C88" s="57"/>
      <c r="D88" s="57"/>
      <c r="E88" s="58"/>
      <c r="F88" s="58"/>
      <c r="G88" s="66"/>
      <c r="H88" s="57"/>
      <c r="I88" s="57"/>
    </row>
    <row r="89" ht="15.75" customHeight="1" spans="1:9" s="1" customFormat="1" x14ac:dyDescent="0.25">
      <c r="A89" s="67"/>
      <c r="B89" s="50"/>
      <c r="C89" s="50"/>
      <c r="D89" s="50"/>
      <c r="E89" s="51"/>
      <c r="F89" s="51"/>
      <c r="G89" s="67"/>
      <c r="H89" s="50"/>
      <c r="I89" s="50"/>
    </row>
    <row r="90" ht="15.75" customHeight="1" spans="1:9" s="1" customFormat="1" x14ac:dyDescent="0.25">
      <c r="A90" s="66"/>
      <c r="B90" s="57"/>
      <c r="C90" s="57"/>
      <c r="D90" s="57"/>
      <c r="E90" s="58"/>
      <c r="F90" s="58"/>
      <c r="G90" s="66"/>
      <c r="H90" s="57"/>
      <c r="I90" s="57"/>
    </row>
    <row r="91" ht="15.75" customHeight="1" spans="1:9" s="1" customFormat="1" x14ac:dyDescent="0.25">
      <c r="A91" s="67"/>
      <c r="B91" s="50"/>
      <c r="C91" s="50"/>
      <c r="D91" s="50"/>
      <c r="E91" s="51"/>
      <c r="F91" s="51"/>
      <c r="G91" s="67"/>
      <c r="H91" s="50"/>
      <c r="I91" s="50"/>
    </row>
    <row r="92" ht="15.75" customHeight="1" spans="1:9" s="1" customFormat="1" x14ac:dyDescent="0.25">
      <c r="A92" s="66"/>
      <c r="B92" s="57"/>
      <c r="C92" s="57"/>
      <c r="D92" s="57"/>
      <c r="E92" s="58"/>
      <c r="F92" s="58"/>
      <c r="G92" s="66"/>
      <c r="H92" s="57"/>
      <c r="I92" s="57"/>
    </row>
    <row r="93" ht="15.75" customHeight="1" spans="1:9" s="1" customFormat="1" x14ac:dyDescent="0.25">
      <c r="A93" s="67"/>
      <c r="B93" s="50"/>
      <c r="C93" s="50"/>
      <c r="D93" s="50"/>
      <c r="E93" s="51"/>
      <c r="F93" s="51"/>
      <c r="G93" s="67"/>
      <c r="H93" s="50"/>
      <c r="I93" s="50"/>
    </row>
    <row r="94" ht="15.75" customHeight="1" spans="1:9" s="1" customFormat="1" x14ac:dyDescent="0.25">
      <c r="A94" s="66"/>
      <c r="B94" s="57"/>
      <c r="C94" s="57"/>
      <c r="D94" s="57"/>
      <c r="E94" s="58"/>
      <c r="F94" s="58"/>
      <c r="G94" s="66"/>
      <c r="H94" s="57"/>
      <c r="I94" s="57"/>
    </row>
    <row r="95" ht="15.75" customHeight="1" spans="1:9" s="1" customFormat="1" x14ac:dyDescent="0.25">
      <c r="A95" s="67"/>
      <c r="B95" s="50"/>
      <c r="C95" s="50"/>
      <c r="D95" s="50"/>
      <c r="E95" s="51"/>
      <c r="F95" s="51"/>
      <c r="G95" s="67"/>
      <c r="H95" s="50"/>
      <c r="I95" s="50"/>
    </row>
    <row r="96" ht="15.75" customHeight="1" spans="1:9" s="1" customFormat="1" x14ac:dyDescent="0.25">
      <c r="A96" s="66"/>
      <c r="B96" s="57"/>
      <c r="C96" s="57"/>
      <c r="D96" s="57"/>
      <c r="E96" s="58"/>
      <c r="F96" s="58"/>
      <c r="G96" s="66"/>
      <c r="H96" s="57"/>
      <c r="I96" s="57"/>
    </row>
    <row r="97" ht="15.75" customHeight="1" spans="1:9" s="1" customFormat="1" x14ac:dyDescent="0.25">
      <c r="A97" s="67"/>
      <c r="B97" s="50"/>
      <c r="C97" s="50"/>
      <c r="D97" s="50"/>
      <c r="E97" s="51"/>
      <c r="F97" s="51"/>
      <c r="G97" s="67"/>
      <c r="H97" s="50"/>
      <c r="I97" s="50"/>
    </row>
    <row r="98" ht="15.75" customHeight="1" spans="1:9" s="1" customFormat="1" x14ac:dyDescent="0.25">
      <c r="A98" s="66"/>
      <c r="B98" s="57"/>
      <c r="C98" s="57"/>
      <c r="D98" s="57"/>
      <c r="E98" s="58"/>
      <c r="F98" s="58"/>
      <c r="G98" s="66"/>
      <c r="H98" s="57"/>
      <c r="I98" s="57"/>
    </row>
    <row r="99" ht="15.75" customHeight="1" spans="1:9" s="1" customFormat="1" x14ac:dyDescent="0.25">
      <c r="A99" s="67"/>
      <c r="B99" s="50"/>
      <c r="C99" s="50"/>
      <c r="D99" s="50"/>
      <c r="E99" s="51"/>
      <c r="F99" s="51"/>
      <c r="G99" s="67"/>
      <c r="H99" s="50"/>
      <c r="I99" s="50"/>
    </row>
    <row r="100" ht="15.75" customHeight="1" spans="1:9" s="1" customFormat="1" x14ac:dyDescent="0.25">
      <c r="A100" s="66"/>
      <c r="B100" s="57"/>
      <c r="C100" s="57"/>
      <c r="D100" s="57"/>
      <c r="E100" s="58"/>
      <c r="F100" s="58"/>
      <c r="G100" s="66"/>
      <c r="H100" s="57"/>
      <c r="I100" s="57"/>
    </row>
    <row r="101" ht="15.75" customHeight="1" spans="1:9" s="1" customFormat="1" x14ac:dyDescent="0.25">
      <c r="A101" s="67"/>
      <c r="B101" s="50"/>
      <c r="C101" s="50"/>
      <c r="D101" s="50"/>
      <c r="E101" s="51"/>
      <c r="F101" s="51"/>
      <c r="G101" s="67"/>
      <c r="H101" s="50"/>
      <c r="I101" s="50"/>
    </row>
    <row r="102" ht="15.75" customHeight="1" spans="1:9" s="1" customFormat="1" x14ac:dyDescent="0.25">
      <c r="A102" s="66"/>
      <c r="B102" s="57"/>
      <c r="C102" s="57"/>
      <c r="D102" s="57"/>
      <c r="E102" s="58"/>
      <c r="F102" s="58"/>
      <c r="G102" s="66"/>
      <c r="H102" s="57"/>
      <c r="I102" s="57"/>
    </row>
    <row r="103" ht="15.75" customHeight="1" spans="1:9" s="1" customFormat="1" x14ac:dyDescent="0.25">
      <c r="A103" s="67"/>
      <c r="B103" s="50"/>
      <c r="C103" s="50"/>
      <c r="D103" s="50"/>
      <c r="E103" s="51"/>
      <c r="F103" s="51"/>
      <c r="G103" s="67"/>
      <c r="H103" s="50"/>
      <c r="I103" s="50"/>
    </row>
    <row r="104" ht="15.75" customHeight="1" spans="1:9" s="1" customFormat="1" x14ac:dyDescent="0.25">
      <c r="A104" s="66"/>
      <c r="B104" s="57"/>
      <c r="C104" s="57"/>
      <c r="D104" s="57"/>
      <c r="E104" s="58"/>
      <c r="F104" s="58"/>
      <c r="G104" s="66"/>
      <c r="H104" s="57"/>
      <c r="I104" s="57"/>
    </row>
    <row r="105" ht="15.75" customHeight="1" spans="1:9" s="1" customFormat="1" x14ac:dyDescent="0.25">
      <c r="A105" s="67"/>
      <c r="B105" s="50"/>
      <c r="C105" s="50"/>
      <c r="D105" s="50"/>
      <c r="E105" s="51"/>
      <c r="F105" s="51"/>
      <c r="G105" s="67"/>
      <c r="H105" s="50"/>
      <c r="I105" s="50"/>
    </row>
    <row r="106" ht="15.75" customHeight="1" spans="1:9" s="1" customFormat="1" x14ac:dyDescent="0.25">
      <c r="A106" s="66"/>
      <c r="B106" s="57"/>
      <c r="C106" s="57"/>
      <c r="D106" s="57"/>
      <c r="E106" s="58"/>
      <c r="F106" s="58"/>
      <c r="G106" s="66"/>
      <c r="H106" s="57"/>
      <c r="I106" s="57"/>
    </row>
    <row r="107" ht="15.75" customHeight="1" spans="1:9" s="1" customFormat="1" x14ac:dyDescent="0.25">
      <c r="A107" s="67"/>
      <c r="B107" s="50"/>
      <c r="C107" s="50"/>
      <c r="D107" s="50"/>
      <c r="E107" s="51"/>
      <c r="F107" s="51"/>
      <c r="G107" s="67"/>
      <c r="H107" s="50"/>
      <c r="I107" s="50"/>
    </row>
    <row r="108" ht="15.75" customHeight="1" spans="1:9" s="1" customFormat="1" x14ac:dyDescent="0.25">
      <c r="A108" s="66"/>
      <c r="B108" s="57"/>
      <c r="C108" s="57"/>
      <c r="D108" s="57"/>
      <c r="E108" s="58"/>
      <c r="F108" s="58"/>
      <c r="G108" s="66"/>
      <c r="H108" s="57"/>
      <c r="I108" s="57"/>
    </row>
    <row r="109" ht="15.75" customHeight="1" spans="1:9" s="1" customFormat="1" x14ac:dyDescent="0.25">
      <c r="A109" s="67"/>
      <c r="B109" s="50"/>
      <c r="C109" s="50"/>
      <c r="D109" s="50"/>
      <c r="E109" s="51"/>
      <c r="F109" s="51"/>
      <c r="G109" s="67"/>
      <c r="H109" s="50"/>
      <c r="I109" s="50"/>
    </row>
    <row r="110" ht="15.75" customHeight="1" spans="1:9" s="1" customFormat="1" x14ac:dyDescent="0.25">
      <c r="A110" s="66"/>
      <c r="B110" s="57"/>
      <c r="C110" s="57"/>
      <c r="D110" s="57"/>
      <c r="E110" s="58"/>
      <c r="F110" s="58"/>
      <c r="G110" s="66"/>
      <c r="H110" s="57"/>
      <c r="I110" s="57"/>
    </row>
    <row r="111" ht="15.75" customHeight="1" spans="1:9" s="1" customFormat="1" x14ac:dyDescent="0.25">
      <c r="A111" s="67"/>
      <c r="B111" s="50"/>
      <c r="C111" s="50"/>
      <c r="D111" s="50"/>
      <c r="E111" s="51"/>
      <c r="F111" s="51"/>
      <c r="G111" s="67"/>
      <c r="H111" s="50"/>
      <c r="I111" s="50"/>
    </row>
    <row r="112" ht="15.75" customHeight="1" spans="1:9" s="1" customFormat="1" x14ac:dyDescent="0.25">
      <c r="A112" s="66"/>
      <c r="B112" s="57"/>
      <c r="C112" s="57"/>
      <c r="D112" s="57"/>
      <c r="E112" s="58"/>
      <c r="F112" s="58"/>
      <c r="G112" s="66"/>
      <c r="H112" s="57"/>
      <c r="I112" s="57"/>
    </row>
    <row r="113" ht="15.75" customHeight="1" spans="1:9" s="1" customFormat="1" x14ac:dyDescent="0.25">
      <c r="A113" s="67"/>
      <c r="B113" s="50"/>
      <c r="C113" s="50"/>
      <c r="D113" s="50"/>
      <c r="E113" s="51"/>
      <c r="F113" s="51"/>
      <c r="G113" s="67"/>
      <c r="H113" s="50"/>
      <c r="I113" s="50"/>
    </row>
    <row r="114" ht="15.75" customHeight="1" spans="1:9" s="1" customFormat="1" x14ac:dyDescent="0.25">
      <c r="A114" s="66"/>
      <c r="B114" s="57"/>
      <c r="C114" s="57"/>
      <c r="D114" s="57"/>
      <c r="E114" s="58"/>
      <c r="F114" s="58"/>
      <c r="G114" s="66"/>
      <c r="H114" s="57"/>
      <c r="I114" s="57"/>
    </row>
    <row r="115" ht="15.75" customHeight="1" spans="1:9" s="1" customFormat="1" x14ac:dyDescent="0.25">
      <c r="A115" s="67"/>
      <c r="B115" s="50"/>
      <c r="C115" s="50"/>
      <c r="D115" s="50"/>
      <c r="E115" s="51"/>
      <c r="F115" s="51"/>
      <c r="G115" s="67"/>
      <c r="H115" s="50"/>
      <c r="I115" s="50"/>
    </row>
    <row r="116" ht="15.75" customHeight="1" spans="1:9" s="1" customFormat="1" x14ac:dyDescent="0.25">
      <c r="A116" s="66"/>
      <c r="B116" s="57"/>
      <c r="C116" s="57"/>
      <c r="D116" s="57"/>
      <c r="E116" s="58"/>
      <c r="F116" s="58"/>
      <c r="G116" s="66"/>
      <c r="H116" s="57"/>
      <c r="I116" s="57"/>
    </row>
    <row r="117" ht="15.75" customHeight="1" spans="1:9" s="1" customFormat="1" x14ac:dyDescent="0.25">
      <c r="A117" s="67"/>
      <c r="B117" s="50"/>
      <c r="C117" s="50"/>
      <c r="D117" s="50"/>
      <c r="E117" s="51"/>
      <c r="F117" s="51"/>
      <c r="G117" s="67"/>
      <c r="H117" s="50"/>
      <c r="I117" s="50"/>
    </row>
    <row r="118" ht="15.75" customHeight="1" spans="1:9" s="1" customFormat="1" x14ac:dyDescent="0.25">
      <c r="A118" s="66"/>
      <c r="B118" s="57"/>
      <c r="C118" s="57"/>
      <c r="D118" s="57"/>
      <c r="E118" s="58"/>
      <c r="F118" s="58"/>
      <c r="G118" s="66"/>
      <c r="H118" s="57"/>
      <c r="I118" s="57"/>
    </row>
    <row r="119" ht="15.75" customHeight="1" spans="1:9" s="1" customFormat="1" x14ac:dyDescent="0.25">
      <c r="A119" s="67"/>
      <c r="B119" s="50"/>
      <c r="C119" s="50"/>
      <c r="D119" s="50"/>
      <c r="E119" s="51"/>
      <c r="F119" s="51"/>
      <c r="G119" s="67"/>
      <c r="H119" s="50"/>
      <c r="I119" s="50"/>
    </row>
    <row r="120" ht="15.75" customHeight="1" spans="1:9" s="1" customFormat="1" x14ac:dyDescent="0.25">
      <c r="A120" s="66"/>
      <c r="B120" s="57"/>
      <c r="C120" s="57"/>
      <c r="D120" s="57"/>
      <c r="E120" s="58"/>
      <c r="F120" s="58"/>
      <c r="G120" s="66"/>
      <c r="H120" s="57"/>
      <c r="I120" s="57"/>
    </row>
    <row r="121" ht="15.75" customHeight="1" spans="1:9" s="1" customFormat="1" x14ac:dyDescent="0.25">
      <c r="A121" s="67"/>
      <c r="B121" s="50"/>
      <c r="C121" s="50"/>
      <c r="D121" s="50"/>
      <c r="E121" s="51"/>
      <c r="F121" s="51"/>
      <c r="G121" s="67"/>
      <c r="H121" s="50"/>
      <c r="I121" s="50"/>
    </row>
    <row r="122" ht="15.75" customHeight="1" spans="1:9" s="1" customFormat="1" x14ac:dyDescent="0.25">
      <c r="A122" s="66"/>
      <c r="B122" s="57"/>
      <c r="C122" s="57"/>
      <c r="D122" s="57"/>
      <c r="E122" s="58"/>
      <c r="F122" s="58"/>
      <c r="G122" s="66"/>
      <c r="H122" s="57"/>
      <c r="I122" s="57"/>
    </row>
    <row r="123" ht="15.75" customHeight="1" spans="1:9" s="1" customFormat="1" x14ac:dyDescent="0.25">
      <c r="A123" s="67"/>
      <c r="B123" s="50"/>
      <c r="C123" s="50"/>
      <c r="D123" s="50"/>
      <c r="E123" s="51"/>
      <c r="F123" s="51"/>
      <c r="G123" s="67"/>
      <c r="H123" s="50"/>
      <c r="I123" s="50"/>
    </row>
    <row r="124" ht="15.75" customHeight="1" spans="1:9" s="1" customFormat="1" x14ac:dyDescent="0.25">
      <c r="A124" s="66"/>
      <c r="B124" s="57"/>
      <c r="C124" s="57"/>
      <c r="D124" s="57"/>
      <c r="E124" s="58"/>
      <c r="F124" s="58"/>
      <c r="G124" s="66"/>
      <c r="H124" s="57"/>
      <c r="I124" s="57"/>
    </row>
    <row r="125" ht="15.75" customHeight="1" spans="1:9" s="1" customFormat="1" x14ac:dyDescent="0.25">
      <c r="A125" s="67"/>
      <c r="B125" s="50"/>
      <c r="C125" s="50"/>
      <c r="D125" s="50"/>
      <c r="E125" s="51"/>
      <c r="F125" s="51"/>
      <c r="G125" s="67"/>
      <c r="H125" s="50"/>
      <c r="I125" s="50"/>
    </row>
    <row r="126" ht="15.75" customHeight="1" spans="1:9" s="1" customFormat="1" x14ac:dyDescent="0.25">
      <c r="A126" s="66"/>
      <c r="B126" s="57"/>
      <c r="C126" s="57"/>
      <c r="D126" s="57"/>
      <c r="E126" s="58"/>
      <c r="F126" s="58"/>
      <c r="G126" s="66"/>
      <c r="H126" s="57"/>
      <c r="I126" s="57"/>
    </row>
    <row r="127" ht="15.75" customHeight="1" spans="1:9" s="1" customFormat="1" x14ac:dyDescent="0.25">
      <c r="A127" s="67"/>
      <c r="B127" s="50"/>
      <c r="C127" s="50"/>
      <c r="D127" s="50"/>
      <c r="E127" s="51"/>
      <c r="F127" s="51"/>
      <c r="G127" s="67"/>
      <c r="H127" s="50"/>
      <c r="I127" s="50"/>
    </row>
    <row r="128" ht="15.75" customHeight="1" spans="1:9" s="1" customFormat="1" x14ac:dyDescent="0.25">
      <c r="A128" s="66"/>
      <c r="B128" s="57"/>
      <c r="C128" s="57"/>
      <c r="D128" s="57"/>
      <c r="E128" s="58"/>
      <c r="F128" s="58"/>
      <c r="G128" s="66"/>
      <c r="H128" s="57"/>
      <c r="I128" s="57"/>
    </row>
    <row r="129" ht="15.75" customHeight="1" spans="1:9" s="1" customFormat="1" x14ac:dyDescent="0.25">
      <c r="A129" s="67"/>
      <c r="B129" s="50"/>
      <c r="C129" s="50"/>
      <c r="D129" s="50"/>
      <c r="E129" s="51"/>
      <c r="F129" s="51"/>
      <c r="G129" s="67"/>
      <c r="H129" s="50"/>
      <c r="I129" s="50"/>
    </row>
    <row r="130" ht="15.75" customHeight="1" spans="1:9" s="1" customFormat="1" x14ac:dyDescent="0.25">
      <c r="A130" s="66"/>
      <c r="B130" s="57"/>
      <c r="C130" s="57"/>
      <c r="D130" s="57"/>
      <c r="E130" s="58"/>
      <c r="F130" s="58"/>
      <c r="G130" s="66"/>
      <c r="H130" s="57"/>
      <c r="I130" s="57"/>
    </row>
    <row r="131" ht="15.75" customHeight="1" spans="1:9" s="1" customFormat="1" x14ac:dyDescent="0.25">
      <c r="A131" s="67"/>
      <c r="B131" s="50"/>
      <c r="C131" s="50"/>
      <c r="D131" s="50"/>
      <c r="E131" s="51"/>
      <c r="F131" s="51"/>
      <c r="G131" s="67"/>
      <c r="H131" s="50"/>
      <c r="I131" s="50"/>
    </row>
    <row r="132" ht="15.75" customHeight="1" spans="1:9" s="1" customFormat="1" x14ac:dyDescent="0.25">
      <c r="A132" s="66"/>
      <c r="B132" s="57"/>
      <c r="C132" s="57"/>
      <c r="D132" s="57"/>
      <c r="E132" s="58"/>
      <c r="F132" s="58"/>
      <c r="G132" s="66"/>
      <c r="H132" s="57"/>
      <c r="I132" s="57"/>
    </row>
    <row r="133" ht="15.75" customHeight="1" spans="1:9" s="1" customFormat="1" x14ac:dyDescent="0.25">
      <c r="A133" s="67"/>
      <c r="B133" s="50"/>
      <c r="C133" s="50"/>
      <c r="D133" s="50"/>
      <c r="E133" s="51"/>
      <c r="F133" s="51"/>
      <c r="G133" s="67"/>
      <c r="H133" s="50"/>
      <c r="I133" s="50"/>
    </row>
    <row r="134" ht="15.75" customHeight="1" spans="1:9" s="1" customFormat="1" x14ac:dyDescent="0.25">
      <c r="A134" s="66"/>
      <c r="B134" s="57"/>
      <c r="C134" s="57"/>
      <c r="D134" s="57"/>
      <c r="E134" s="58"/>
      <c r="F134" s="58"/>
      <c r="G134" s="66"/>
      <c r="H134" s="57"/>
      <c r="I134" s="57"/>
    </row>
    <row r="135" ht="15.75" customHeight="1" spans="1:9" s="1" customFormat="1" x14ac:dyDescent="0.25">
      <c r="A135" s="67"/>
      <c r="B135" s="50"/>
      <c r="C135" s="50"/>
      <c r="D135" s="50"/>
      <c r="E135" s="51"/>
      <c r="F135" s="51"/>
      <c r="G135" s="67"/>
      <c r="H135" s="50"/>
      <c r="I135" s="50"/>
    </row>
    <row r="136" ht="15.75" customHeight="1" spans="1:9" s="1" customFormat="1" x14ac:dyDescent="0.25">
      <c r="A136" s="66"/>
      <c r="B136" s="57"/>
      <c r="C136" s="57"/>
      <c r="D136" s="57"/>
      <c r="E136" s="58"/>
      <c r="F136" s="58"/>
      <c r="G136" s="66"/>
      <c r="H136" s="57"/>
      <c r="I136" s="57"/>
    </row>
    <row r="137" ht="15.75" customHeight="1" spans="1:9" s="1" customFormat="1" x14ac:dyDescent="0.25">
      <c r="A137" s="67"/>
      <c r="B137" s="50"/>
      <c r="C137" s="50"/>
      <c r="D137" s="50"/>
      <c r="E137" s="51"/>
      <c r="F137" s="51"/>
      <c r="G137" s="67"/>
      <c r="H137" s="50"/>
      <c r="I137" s="50"/>
    </row>
    <row r="138" ht="15.75" customHeight="1" spans="1:9" s="1" customFormat="1" x14ac:dyDescent="0.25">
      <c r="A138" s="66"/>
      <c r="B138" s="57"/>
      <c r="C138" s="57"/>
      <c r="D138" s="57"/>
      <c r="E138" s="58"/>
      <c r="F138" s="58"/>
      <c r="G138" s="66"/>
      <c r="H138" s="57"/>
      <c r="I138" s="57"/>
    </row>
    <row r="139" ht="15.75" customHeight="1" spans="1:9" s="1" customFormat="1" x14ac:dyDescent="0.25">
      <c r="A139" s="67"/>
      <c r="B139" s="50"/>
      <c r="C139" s="50"/>
      <c r="D139" s="50"/>
      <c r="E139" s="51"/>
      <c r="F139" s="51"/>
      <c r="G139" s="67"/>
      <c r="H139" s="50"/>
      <c r="I139" s="50"/>
    </row>
    <row r="140" ht="15.75" customHeight="1" spans="1:9" s="1" customFormat="1" x14ac:dyDescent="0.25">
      <c r="A140" s="66"/>
      <c r="B140" s="57"/>
      <c r="C140" s="57"/>
      <c r="D140" s="57"/>
      <c r="E140" s="58"/>
      <c r="F140" s="58"/>
      <c r="G140" s="66"/>
      <c r="H140" s="57"/>
      <c r="I140" s="57"/>
    </row>
    <row r="141" ht="15.75" customHeight="1" spans="1:9" s="1" customFormat="1" x14ac:dyDescent="0.25">
      <c r="A141" s="67"/>
      <c r="B141" s="50"/>
      <c r="C141" s="50"/>
      <c r="D141" s="50"/>
      <c r="E141" s="51"/>
      <c r="F141" s="51"/>
      <c r="G141" s="67"/>
      <c r="H141" s="50"/>
      <c r="I141" s="50"/>
    </row>
    <row r="142" ht="15.75" customHeight="1" spans="1:9" s="1" customFormat="1" x14ac:dyDescent="0.25">
      <c r="A142" s="66"/>
      <c r="B142" s="57"/>
      <c r="C142" s="57"/>
      <c r="D142" s="57"/>
      <c r="E142" s="58"/>
      <c r="F142" s="58"/>
      <c r="G142" s="66"/>
      <c r="H142" s="57"/>
      <c r="I142" s="57"/>
    </row>
    <row r="143" ht="15.75" customHeight="1" spans="1:9" s="1" customFormat="1" x14ac:dyDescent="0.25">
      <c r="A143" s="67"/>
      <c r="B143" s="50"/>
      <c r="C143" s="50"/>
      <c r="D143" s="50"/>
      <c r="E143" s="51"/>
      <c r="F143" s="51"/>
      <c r="G143" s="67"/>
      <c r="H143" s="50"/>
      <c r="I143" s="50"/>
    </row>
    <row r="144" ht="15.75" customHeight="1" spans="1:9" s="1" customFormat="1" x14ac:dyDescent="0.25">
      <c r="A144" s="66"/>
      <c r="B144" s="57"/>
      <c r="C144" s="57"/>
      <c r="D144" s="57"/>
      <c r="E144" s="58"/>
      <c r="F144" s="58"/>
      <c r="G144" s="66"/>
      <c r="H144" s="57"/>
      <c r="I144" s="57"/>
    </row>
    <row r="145" ht="15.75" customHeight="1" spans="1:9" s="1" customFormat="1" x14ac:dyDescent="0.25">
      <c r="A145" s="67"/>
      <c r="B145" s="50"/>
      <c r="C145" s="50"/>
      <c r="D145" s="50"/>
      <c r="E145" s="51"/>
      <c r="F145" s="51"/>
      <c r="G145" s="67"/>
      <c r="H145" s="50"/>
      <c r="I145" s="50"/>
    </row>
    <row r="146" ht="15.75" customHeight="1" spans="1:9" s="1" customFormat="1" x14ac:dyDescent="0.25">
      <c r="A146" s="66"/>
      <c r="B146" s="57"/>
      <c r="C146" s="57"/>
      <c r="D146" s="57"/>
      <c r="E146" s="58"/>
      <c r="F146" s="58"/>
      <c r="G146" s="66"/>
      <c r="H146" s="57"/>
      <c r="I146" s="57"/>
    </row>
    <row r="147" ht="15.75" customHeight="1" spans="1:9" s="1" customFormat="1" x14ac:dyDescent="0.25">
      <c r="A147" s="67"/>
      <c r="B147" s="50"/>
      <c r="C147" s="50"/>
      <c r="D147" s="50"/>
      <c r="E147" s="51"/>
      <c r="F147" s="51"/>
      <c r="G147" s="67"/>
      <c r="H147" s="50"/>
      <c r="I147" s="50"/>
    </row>
    <row r="148" ht="15.75" customHeight="1" spans="1:9" s="1" customFormat="1" x14ac:dyDescent="0.25">
      <c r="A148" s="66"/>
      <c r="B148" s="57"/>
      <c r="C148" s="57"/>
      <c r="D148" s="57"/>
      <c r="E148" s="58"/>
      <c r="F148" s="58"/>
      <c r="G148" s="66"/>
      <c r="H148" s="57"/>
      <c r="I148" s="57"/>
    </row>
    <row r="149" ht="15.75" customHeight="1" spans="1:9" s="1" customFormat="1" x14ac:dyDescent="0.25">
      <c r="A149" s="67"/>
      <c r="B149" s="50"/>
      <c r="C149" s="50"/>
      <c r="D149" s="50"/>
      <c r="E149" s="51"/>
      <c r="F149" s="51"/>
      <c r="G149" s="67"/>
      <c r="H149" s="50"/>
      <c r="I149" s="50"/>
    </row>
    <row r="150" ht="15.75" customHeight="1" spans="1:9" s="1" customFormat="1" x14ac:dyDescent="0.25">
      <c r="A150" s="66"/>
      <c r="B150" s="57"/>
      <c r="C150" s="57"/>
      <c r="D150" s="57"/>
      <c r="E150" s="58"/>
      <c r="F150" s="58"/>
      <c r="G150" s="66"/>
      <c r="H150" s="57"/>
      <c r="I150" s="57"/>
    </row>
    <row r="151" ht="15.75" customHeight="1" spans="1:9" s="1" customFormat="1" x14ac:dyDescent="0.25">
      <c r="A151" s="67"/>
      <c r="B151" s="50"/>
      <c r="C151" s="50"/>
      <c r="D151" s="50"/>
      <c r="E151" s="51"/>
      <c r="F151" s="51"/>
      <c r="G151" s="67"/>
      <c r="H151" s="50"/>
      <c r="I151" s="50"/>
    </row>
    <row r="152" ht="15.75" customHeight="1" spans="1:9" s="1" customFormat="1" x14ac:dyDescent="0.25">
      <c r="A152" s="66"/>
      <c r="B152" s="57"/>
      <c r="C152" s="57"/>
      <c r="D152" s="57"/>
      <c r="E152" s="58"/>
      <c r="F152" s="58"/>
      <c r="G152" s="66"/>
      <c r="H152" s="57"/>
      <c r="I152" s="57"/>
    </row>
    <row r="153" ht="15.75" customHeight="1" spans="1:9" s="1" customFormat="1" x14ac:dyDescent="0.25">
      <c r="A153" s="67"/>
      <c r="B153" s="50"/>
      <c r="C153" s="50"/>
      <c r="D153" s="50"/>
      <c r="E153" s="51"/>
      <c r="F153" s="51"/>
      <c r="G153" s="67"/>
      <c r="H153" s="50"/>
      <c r="I153" s="50"/>
    </row>
    <row r="154" ht="15.75" customHeight="1" spans="1:9" s="1" customFormat="1" x14ac:dyDescent="0.25">
      <c r="A154" s="66"/>
      <c r="B154" s="57"/>
      <c r="C154" s="57"/>
      <c r="D154" s="57"/>
      <c r="E154" s="58"/>
      <c r="F154" s="58"/>
      <c r="G154" s="66"/>
      <c r="H154" s="57"/>
      <c r="I154" s="57"/>
    </row>
    <row r="155" ht="15.75" customHeight="1" spans="1:9" s="1" customFormat="1" x14ac:dyDescent="0.25">
      <c r="A155" s="67"/>
      <c r="B155" s="50"/>
      <c r="C155" s="50"/>
      <c r="D155" s="50"/>
      <c r="E155" s="51"/>
      <c r="F155" s="51"/>
      <c r="G155" s="67"/>
      <c r="H155" s="50"/>
      <c r="I155" s="50"/>
    </row>
    <row r="156" ht="15.75" customHeight="1" spans="1:9" s="1" customFormat="1" x14ac:dyDescent="0.25">
      <c r="A156" s="66"/>
      <c r="B156" s="57"/>
      <c r="C156" s="57"/>
      <c r="D156" s="57"/>
      <c r="E156" s="58"/>
      <c r="F156" s="58"/>
      <c r="G156" s="66"/>
      <c r="H156" s="57"/>
      <c r="I156" s="57"/>
    </row>
    <row r="157" ht="15.75" customHeight="1" spans="1:9" s="1" customFormat="1" x14ac:dyDescent="0.25">
      <c r="A157" s="67"/>
      <c r="B157" s="50"/>
      <c r="C157" s="50"/>
      <c r="D157" s="50"/>
      <c r="E157" s="51"/>
      <c r="F157" s="51"/>
      <c r="G157" s="67"/>
      <c r="H157" s="50"/>
      <c r="I157" s="50"/>
    </row>
    <row r="158" ht="15.75" customHeight="1" spans="1:9" s="1" customFormat="1" x14ac:dyDescent="0.25">
      <c r="A158" s="66"/>
      <c r="B158" s="57"/>
      <c r="C158" s="57"/>
      <c r="D158" s="57"/>
      <c r="E158" s="58"/>
      <c r="F158" s="58"/>
      <c r="G158" s="66"/>
      <c r="H158" s="57"/>
      <c r="I158" s="57"/>
    </row>
    <row r="159" ht="15.75" customHeight="1" spans="1:9" s="1" customFormat="1" x14ac:dyDescent="0.25">
      <c r="A159" s="67"/>
      <c r="B159" s="50"/>
      <c r="C159" s="50"/>
      <c r="D159" s="50"/>
      <c r="E159" s="51"/>
      <c r="F159" s="51"/>
      <c r="G159" s="67"/>
      <c r="H159" s="50"/>
      <c r="I159" s="50"/>
    </row>
    <row r="160" ht="15.75" customHeight="1" spans="1:9" s="1" customFormat="1" x14ac:dyDescent="0.25">
      <c r="A160" s="66"/>
      <c r="B160" s="57"/>
      <c r="C160" s="57"/>
      <c r="D160" s="57"/>
      <c r="E160" s="58"/>
      <c r="F160" s="58"/>
      <c r="G160" s="66"/>
      <c r="H160" s="57"/>
      <c r="I160" s="57"/>
    </row>
    <row r="161" ht="15.75" customHeight="1" spans="1:9" s="1" customFormat="1" x14ac:dyDescent="0.25">
      <c r="A161" s="67"/>
      <c r="B161" s="50"/>
      <c r="C161" s="50"/>
      <c r="D161" s="50"/>
      <c r="E161" s="51"/>
      <c r="F161" s="51"/>
      <c r="G161" s="67"/>
      <c r="H161" s="50"/>
      <c r="I161" s="50"/>
    </row>
    <row r="162" ht="15.75" customHeight="1" spans="1:9" s="1" customFormat="1" x14ac:dyDescent="0.25">
      <c r="A162" s="66"/>
      <c r="B162" s="57"/>
      <c r="C162" s="57"/>
      <c r="D162" s="57"/>
      <c r="E162" s="58"/>
      <c r="F162" s="58"/>
      <c r="G162" s="66"/>
      <c r="H162" s="57"/>
      <c r="I162" s="57"/>
    </row>
    <row r="163" ht="15.75" customHeight="1" spans="1:9" s="1" customFormat="1" x14ac:dyDescent="0.25">
      <c r="A163" s="67"/>
      <c r="B163" s="50"/>
      <c r="C163" s="50"/>
      <c r="D163" s="50"/>
      <c r="E163" s="51"/>
      <c r="F163" s="51"/>
      <c r="G163" s="67"/>
      <c r="H163" s="50"/>
      <c r="I163" s="50"/>
    </row>
    <row r="164" ht="15.75" customHeight="1" spans="1:9" s="1" customFormat="1" x14ac:dyDescent="0.25">
      <c r="A164" s="66"/>
      <c r="B164" s="57"/>
      <c r="C164" s="57"/>
      <c r="D164" s="57"/>
      <c r="E164" s="58"/>
      <c r="F164" s="58"/>
      <c r="G164" s="66"/>
      <c r="H164" s="57"/>
      <c r="I164" s="57"/>
    </row>
    <row r="165" ht="15.75" customHeight="1" spans="1:9" s="1" customFormat="1" x14ac:dyDescent="0.25">
      <c r="A165" s="67"/>
      <c r="B165" s="50"/>
      <c r="C165" s="50"/>
      <c r="D165" s="50"/>
      <c r="E165" s="51"/>
      <c r="F165" s="51"/>
      <c r="G165" s="67"/>
      <c r="H165" s="50"/>
      <c r="I165" s="50"/>
    </row>
    <row r="166" ht="15.75" customHeight="1" spans="1:9" s="1" customFormat="1" x14ac:dyDescent="0.25">
      <c r="A166" s="66"/>
      <c r="B166" s="57"/>
      <c r="C166" s="57"/>
      <c r="D166" s="57"/>
      <c r="E166" s="58"/>
      <c r="F166" s="58"/>
      <c r="G166" s="66"/>
      <c r="H166" s="57"/>
      <c r="I166" s="57"/>
    </row>
    <row r="167" ht="15.75" customHeight="1" spans="1:9" s="1" customFormat="1" x14ac:dyDescent="0.25">
      <c r="A167" s="67"/>
      <c r="B167" s="50"/>
      <c r="C167" s="50"/>
      <c r="D167" s="50"/>
      <c r="E167" s="51"/>
      <c r="F167" s="51"/>
      <c r="G167" s="67"/>
      <c r="H167" s="50"/>
      <c r="I167" s="50"/>
    </row>
    <row r="168" ht="15.75" customHeight="1" spans="1:9" s="1" customFormat="1" x14ac:dyDescent="0.25">
      <c r="A168" s="66"/>
      <c r="B168" s="57"/>
      <c r="C168" s="57"/>
      <c r="D168" s="57"/>
      <c r="E168" s="58"/>
      <c r="F168" s="58"/>
      <c r="G168" s="66"/>
      <c r="H168" s="57"/>
      <c r="I168" s="57"/>
    </row>
    <row r="169" ht="15.75" customHeight="1" spans="1:9" s="1" customFormat="1" x14ac:dyDescent="0.25">
      <c r="A169" s="67"/>
      <c r="B169" s="50"/>
      <c r="C169" s="50"/>
      <c r="D169" s="50"/>
      <c r="E169" s="51"/>
      <c r="F169" s="51"/>
      <c r="G169" s="67"/>
      <c r="H169" s="50"/>
      <c r="I169" s="50"/>
    </row>
    <row r="170" ht="15.75" customHeight="1" spans="1:9" s="1" customFormat="1" x14ac:dyDescent="0.25">
      <c r="A170" s="66"/>
      <c r="B170" s="57"/>
      <c r="C170" s="57"/>
      <c r="D170" s="57"/>
      <c r="E170" s="58"/>
      <c r="F170" s="58"/>
      <c r="G170" s="66"/>
      <c r="H170" s="57"/>
      <c r="I170" s="57"/>
    </row>
    <row r="171" ht="15.75" customHeight="1" spans="1:9" s="1" customFormat="1" x14ac:dyDescent="0.25">
      <c r="A171" s="67"/>
      <c r="B171" s="50"/>
      <c r="C171" s="50"/>
      <c r="D171" s="50"/>
      <c r="E171" s="51"/>
      <c r="F171" s="51"/>
      <c r="G171" s="67"/>
      <c r="H171" s="50"/>
      <c r="I171" s="50"/>
    </row>
    <row r="172" ht="15.75" customHeight="1" spans="1:9" s="1" customFormat="1" x14ac:dyDescent="0.25">
      <c r="A172" s="66"/>
      <c r="B172" s="57"/>
      <c r="C172" s="57"/>
      <c r="D172" s="57"/>
      <c r="E172" s="58"/>
      <c r="F172" s="58"/>
      <c r="G172" s="66"/>
      <c r="H172" s="57"/>
      <c r="I172" s="57"/>
    </row>
    <row r="173" ht="15.75" customHeight="1" spans="1:9" s="1" customFormat="1" x14ac:dyDescent="0.25">
      <c r="A173" s="67"/>
      <c r="B173" s="50"/>
      <c r="C173" s="50"/>
      <c r="D173" s="50"/>
      <c r="E173" s="51"/>
      <c r="F173" s="51"/>
      <c r="G173" s="67"/>
      <c r="H173" s="50"/>
      <c r="I173" s="50"/>
    </row>
    <row r="174" ht="15.75" customHeight="1" spans="1:9" s="1" customFormat="1" x14ac:dyDescent="0.25">
      <c r="A174" s="66"/>
      <c r="B174" s="57"/>
      <c r="C174" s="57"/>
      <c r="D174" s="57"/>
      <c r="E174" s="58"/>
      <c r="F174" s="58"/>
      <c r="G174" s="66"/>
      <c r="H174" s="57"/>
      <c r="I174" s="57"/>
    </row>
    <row r="175" ht="15.75" customHeight="1" spans="1:9" s="1" customFormat="1" x14ac:dyDescent="0.25">
      <c r="A175" s="67"/>
      <c r="B175" s="50"/>
      <c r="C175" s="50"/>
      <c r="D175" s="50"/>
      <c r="E175" s="51"/>
      <c r="F175" s="51"/>
      <c r="G175" s="67"/>
      <c r="H175" s="50"/>
      <c r="I175" s="50"/>
    </row>
    <row r="176" ht="15.75" customHeight="1" spans="1:9" s="1" customFormat="1" x14ac:dyDescent="0.25">
      <c r="A176" s="66"/>
      <c r="B176" s="57"/>
      <c r="C176" s="57"/>
      <c r="D176" s="57"/>
      <c r="E176" s="58"/>
      <c r="F176" s="58"/>
      <c r="G176" s="66"/>
      <c r="H176" s="57"/>
      <c r="I176" s="57"/>
    </row>
    <row r="177" ht="15.75" customHeight="1" spans="1:9" s="1" customFormat="1" x14ac:dyDescent="0.25">
      <c r="A177" s="67"/>
      <c r="B177" s="50"/>
      <c r="C177" s="50"/>
      <c r="D177" s="50"/>
      <c r="E177" s="51"/>
      <c r="F177" s="51"/>
      <c r="G177" s="67"/>
      <c r="H177" s="50"/>
      <c r="I177" s="50"/>
    </row>
    <row r="178" ht="15.75" customHeight="1" spans="1:9" s="1" customFormat="1" x14ac:dyDescent="0.25">
      <c r="A178" s="66"/>
      <c r="B178" s="57"/>
      <c r="C178" s="57"/>
      <c r="D178" s="57"/>
      <c r="E178" s="58"/>
      <c r="F178" s="58"/>
      <c r="G178" s="66"/>
      <c r="H178" s="57"/>
      <c r="I178" s="57"/>
    </row>
    <row r="179" ht="15.75" customHeight="1" spans="1:9" s="1" customFormat="1" x14ac:dyDescent="0.25">
      <c r="A179" s="67"/>
      <c r="B179" s="50"/>
      <c r="C179" s="50"/>
      <c r="D179" s="50"/>
      <c r="E179" s="51"/>
      <c r="F179" s="51"/>
      <c r="G179" s="67"/>
      <c r="H179" s="50"/>
      <c r="I179" s="50"/>
    </row>
    <row r="180" ht="15.75" customHeight="1" spans="1:9" s="1" customFormat="1" x14ac:dyDescent="0.25">
      <c r="A180" s="66"/>
      <c r="B180" s="57"/>
      <c r="C180" s="57"/>
      <c r="D180" s="57"/>
      <c r="E180" s="58"/>
      <c r="F180" s="58"/>
      <c r="G180" s="66"/>
      <c r="H180" s="57"/>
      <c r="I180" s="57"/>
    </row>
    <row r="181" ht="15.75" customHeight="1" spans="1:9" s="1" customFormat="1" x14ac:dyDescent="0.25">
      <c r="A181" s="67"/>
      <c r="B181" s="50"/>
      <c r="C181" s="50"/>
      <c r="D181" s="50"/>
      <c r="E181" s="51"/>
      <c r="F181" s="51"/>
      <c r="G181" s="67"/>
      <c r="H181" s="50"/>
      <c r="I181" s="50"/>
    </row>
    <row r="182" ht="15.75" customHeight="1" spans="1:9" s="1" customFormat="1" x14ac:dyDescent="0.25">
      <c r="A182" s="66"/>
      <c r="B182" s="57"/>
      <c r="C182" s="57"/>
      <c r="D182" s="57"/>
      <c r="E182" s="58"/>
      <c r="F182" s="58"/>
      <c r="G182" s="66"/>
      <c r="H182" s="57"/>
      <c r="I182" s="57"/>
    </row>
    <row r="183" ht="15.75" customHeight="1" spans="1:9" s="1" customFormat="1" x14ac:dyDescent="0.25">
      <c r="A183" s="67"/>
      <c r="B183" s="50"/>
      <c r="C183" s="50"/>
      <c r="D183" s="50"/>
      <c r="E183" s="51"/>
      <c r="F183" s="51"/>
      <c r="G183" s="67"/>
      <c r="H183" s="50"/>
      <c r="I183" s="50"/>
    </row>
    <row r="184" ht="15.75" customHeight="1" spans="1:9" s="1" customFormat="1" x14ac:dyDescent="0.25">
      <c r="A184" s="66"/>
      <c r="B184" s="57"/>
      <c r="C184" s="57"/>
      <c r="D184" s="57"/>
      <c r="E184" s="58"/>
      <c r="F184" s="58"/>
      <c r="G184" s="66"/>
      <c r="H184" s="57"/>
      <c r="I184" s="57"/>
    </row>
    <row r="185" ht="15.75" customHeight="1" spans="1:9" s="1" customFormat="1" x14ac:dyDescent="0.25">
      <c r="A185" s="67"/>
      <c r="B185" s="50"/>
      <c r="C185" s="50"/>
      <c r="D185" s="50"/>
      <c r="E185" s="51"/>
      <c r="F185" s="51"/>
      <c r="G185" s="67"/>
      <c r="H185" s="50"/>
      <c r="I185" s="50"/>
    </row>
    <row r="186" ht="15.75" customHeight="1" spans="1:9" s="1" customFormat="1" x14ac:dyDescent="0.25">
      <c r="A186" s="66"/>
      <c r="B186" s="57"/>
      <c r="C186" s="57"/>
      <c r="D186" s="57"/>
      <c r="E186" s="58"/>
      <c r="F186" s="58"/>
      <c r="G186" s="66"/>
      <c r="H186" s="57"/>
      <c r="I186" s="57"/>
    </row>
    <row r="187" ht="15.75" customHeight="1" spans="1:9" s="1" customFormat="1" x14ac:dyDescent="0.25">
      <c r="A187" s="67"/>
      <c r="B187" s="50"/>
      <c r="C187" s="50"/>
      <c r="D187" s="50"/>
      <c r="E187" s="51"/>
      <c r="F187" s="51"/>
      <c r="G187" s="67"/>
      <c r="H187" s="50"/>
      <c r="I187" s="50"/>
    </row>
    <row r="188" ht="15.75" customHeight="1" spans="1:9" s="1" customFormat="1" x14ac:dyDescent="0.25">
      <c r="A188" s="66"/>
      <c r="B188" s="57"/>
      <c r="C188" s="57"/>
      <c r="D188" s="57"/>
      <c r="E188" s="58"/>
      <c r="F188" s="58"/>
      <c r="G188" s="66"/>
      <c r="H188" s="57"/>
      <c r="I188" s="57"/>
    </row>
    <row r="189" ht="15.75" customHeight="1" spans="1:9" s="1" customFormat="1" x14ac:dyDescent="0.25">
      <c r="A189" s="67"/>
      <c r="B189" s="50"/>
      <c r="C189" s="50"/>
      <c r="D189" s="50"/>
      <c r="E189" s="51"/>
      <c r="F189" s="51"/>
      <c r="G189" s="67"/>
      <c r="H189" s="50"/>
      <c r="I189" s="50"/>
    </row>
    <row r="190" ht="15.75" customHeight="1" spans="1:9" s="1" customFormat="1" x14ac:dyDescent="0.25">
      <c r="A190" s="66"/>
      <c r="B190" s="57"/>
      <c r="C190" s="57"/>
      <c r="D190" s="57"/>
      <c r="E190" s="58"/>
      <c r="F190" s="58"/>
      <c r="G190" s="66"/>
      <c r="H190" s="57"/>
      <c r="I190" s="57"/>
    </row>
    <row r="191" ht="15.75" customHeight="1" spans="1:9" s="1" customFormat="1" x14ac:dyDescent="0.25">
      <c r="A191" s="67"/>
      <c r="B191" s="50"/>
      <c r="C191" s="50"/>
      <c r="D191" s="50"/>
      <c r="E191" s="51"/>
      <c r="F191" s="51"/>
      <c r="G191" s="67"/>
      <c r="H191" s="50"/>
      <c r="I191" s="50"/>
    </row>
    <row r="192" ht="15.75" customHeight="1" spans="1:9" s="1" customFormat="1" x14ac:dyDescent="0.25">
      <c r="A192" s="66"/>
      <c r="B192" s="57"/>
      <c r="C192" s="57"/>
      <c r="D192" s="57"/>
      <c r="E192" s="58"/>
      <c r="F192" s="58"/>
      <c r="G192" s="66"/>
      <c r="H192" s="57"/>
      <c r="I192" s="57"/>
    </row>
    <row r="193" ht="15.75" customHeight="1" spans="1:9" s="1" customFormat="1" x14ac:dyDescent="0.25">
      <c r="A193" s="67"/>
      <c r="B193" s="50"/>
      <c r="C193" s="50"/>
      <c r="D193" s="50"/>
      <c r="E193" s="51"/>
      <c r="F193" s="51"/>
      <c r="G193" s="67"/>
      <c r="H193" s="50"/>
      <c r="I193" s="50"/>
    </row>
    <row r="194" ht="15.75" customHeight="1" spans="1:9" s="1" customFormat="1" x14ac:dyDescent="0.25">
      <c r="A194" s="66"/>
      <c r="B194" s="57"/>
      <c r="C194" s="57"/>
      <c r="D194" s="57"/>
      <c r="E194" s="58"/>
      <c r="F194" s="58"/>
      <c r="G194" s="66"/>
      <c r="H194" s="57"/>
      <c r="I194" s="57"/>
    </row>
    <row r="195" ht="15.75" customHeight="1" spans="1:9" s="1" customFormat="1" x14ac:dyDescent="0.25">
      <c r="A195" s="67"/>
      <c r="B195" s="50"/>
      <c r="C195" s="50"/>
      <c r="D195" s="50"/>
      <c r="E195" s="51"/>
      <c r="F195" s="51"/>
      <c r="G195" s="67"/>
      <c r="H195" s="50"/>
      <c r="I195" s="50"/>
    </row>
    <row r="196" ht="15.75" customHeight="1" spans="1:9" s="1" customFormat="1" x14ac:dyDescent="0.25">
      <c r="A196" s="66"/>
      <c r="B196" s="57"/>
      <c r="C196" s="57"/>
      <c r="D196" s="57"/>
      <c r="E196" s="58"/>
      <c r="F196" s="58"/>
      <c r="G196" s="66"/>
      <c r="H196" s="57"/>
      <c r="I196" s="57"/>
    </row>
    <row r="197" ht="15.75" customHeight="1" spans="1:9" s="1" customFormat="1" x14ac:dyDescent="0.25">
      <c r="A197" s="67"/>
      <c r="B197" s="50"/>
      <c r="C197" s="50"/>
      <c r="D197" s="50"/>
      <c r="E197" s="51"/>
      <c r="F197" s="51"/>
      <c r="G197" s="67"/>
      <c r="H197" s="50"/>
      <c r="I197" s="50"/>
    </row>
    <row r="198" ht="15.75" customHeight="1" spans="1:9" s="1" customFormat="1" x14ac:dyDescent="0.25">
      <c r="A198" s="66"/>
      <c r="B198" s="57"/>
      <c r="C198" s="57"/>
      <c r="D198" s="57"/>
      <c r="E198" s="58"/>
      <c r="F198" s="58"/>
      <c r="G198" s="66"/>
      <c r="H198" s="57"/>
      <c r="I198" s="57"/>
    </row>
    <row r="199" ht="15.75" customHeight="1" spans="1:9" s="1" customFormat="1" x14ac:dyDescent="0.25">
      <c r="A199" s="67"/>
      <c r="B199" s="50"/>
      <c r="C199" s="50"/>
      <c r="D199" s="50"/>
      <c r="E199" s="51"/>
      <c r="F199" s="51"/>
      <c r="G199" s="67"/>
      <c r="H199" s="50"/>
      <c r="I199" s="50"/>
    </row>
    <row r="200" ht="15.75" customHeight="1" spans="1:9" s="1" customFormat="1" x14ac:dyDescent="0.25">
      <c r="A200" s="66"/>
      <c r="B200" s="57"/>
      <c r="C200" s="57"/>
      <c r="D200" s="57"/>
      <c r="E200" s="58"/>
      <c r="F200" s="58"/>
      <c r="G200" s="66"/>
      <c r="H200" s="57"/>
      <c r="I200" s="57"/>
    </row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I1"/>
    <mergeCell ref="A2:I2"/>
    <mergeCell ref="A3:I3"/>
  </mergeCells>
  <conditionalFormatting sqref="H5:H200">
    <cfRule type="cellIs" dxfId="6" priority="1" operator="equal">
      <formula>"Pago"</formula>
    </cfRule>
    <cfRule type="cellIs" dxfId="7" priority="2" operator="equal">
      <formula>"Pendente"</formula>
    </cfRule>
    <cfRule type="cellIs" dxfId="8" priority="3" operator="equal">
      <formula>"Vencido"</formula>
    </cfRule>
  </conditionalFormatting>
  <conditionalFormatting sqref="A5:I200">
    <cfRule type="expression" dxfId="9" priority="4">
      <formula>AND($A5&lt;TODAY(),$H5&lt;&gt;"Pago",$A5&lt;&gt;"")</formula>
    </cfRule>
  </conditionalFormatting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2" style="1" customWidth="1"/>
    <col min="2" max="2" width="30" style="1" customWidth="1"/>
    <col min="3" max="3" width="24" style="1" customWidth="1"/>
    <col min="4" max="4" width="26" style="1" customWidth="1"/>
    <col min="5" max="5" width="13" style="1" customWidth="1"/>
    <col min="6" max="7" width="14" style="1" customWidth="1"/>
    <col min="8" max="8" width="12" style="1" customWidth="1"/>
    <col min="9" max="9" width="22" style="1" customWidth="1"/>
    <col min="10" max="26" width="8.71" style="1" customWidth="1"/>
  </cols>
  <sheetData>
    <row r="1" ht="27.75" customHeight="1" spans="1:9" s="1" customForma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s="1" customFormat="1" x14ac:dyDescent="0.25">
      <c r="A2" s="8" t="s">
        <v>163</v>
      </c>
      <c r="B2" s="1"/>
      <c r="C2" s="1"/>
      <c r="D2" s="1"/>
      <c r="E2" s="1"/>
      <c r="F2" s="1"/>
      <c r="G2" s="1"/>
      <c r="H2" s="1"/>
      <c r="I2" s="1"/>
    </row>
    <row r="3" ht="18" customHeight="1" spans="1:9" s="1" customFormat="1" x14ac:dyDescent="0.25">
      <c r="A3" s="9" t="s">
        <v>164</v>
      </c>
      <c r="B3" s="1"/>
      <c r="C3" s="1"/>
      <c r="D3" s="1"/>
      <c r="E3" s="1"/>
      <c r="F3" s="1"/>
      <c r="G3" s="1"/>
      <c r="H3" s="1"/>
      <c r="I3" s="1"/>
    </row>
    <row r="4" ht="31.5" customHeight="1" spans="1:9" s="1" customFormat="1" x14ac:dyDescent="0.25">
      <c r="A4" s="22" t="s">
        <v>160</v>
      </c>
      <c r="B4" s="22" t="s">
        <v>55</v>
      </c>
      <c r="C4" s="22" t="s">
        <v>95</v>
      </c>
      <c r="D4" s="22" t="s">
        <v>128</v>
      </c>
      <c r="E4" s="22" t="s">
        <v>56</v>
      </c>
      <c r="F4" s="22" t="s">
        <v>165</v>
      </c>
      <c r="G4" s="22" t="s">
        <v>166</v>
      </c>
      <c r="H4" s="22" t="s">
        <v>103</v>
      </c>
      <c r="I4" s="22" t="s">
        <v>73</v>
      </c>
    </row>
    <row r="5" spans="1:9" x14ac:dyDescent="0.25">
      <c r="A5" s="64">
        <v>46186.625</v>
      </c>
      <c r="B5" s="38" t="s">
        <v>147</v>
      </c>
      <c r="C5" s="38" t="s">
        <v>144</v>
      </c>
      <c r="D5" s="38" t="s">
        <v>83</v>
      </c>
      <c r="E5" s="39">
        <v>7198.2</v>
      </c>
      <c r="F5" s="39">
        <v>7198.2</v>
      </c>
      <c r="G5" s="78">
        <v>46156.625</v>
      </c>
      <c r="H5" s="38" t="s">
        <v>167</v>
      </c>
      <c r="I5" s="38" t="s">
        <v>168</v>
      </c>
    </row>
    <row r="6" spans="1:9" x14ac:dyDescent="0.25">
      <c r="A6" s="65"/>
      <c r="B6" s="44"/>
      <c r="C6" s="44"/>
      <c r="D6" s="44"/>
      <c r="E6" s="45"/>
      <c r="F6" s="45"/>
      <c r="G6" s="75"/>
      <c r="H6" s="44"/>
      <c r="I6" s="44"/>
    </row>
    <row r="7" spans="1:9" x14ac:dyDescent="0.25">
      <c r="A7" s="64"/>
      <c r="B7" s="38"/>
      <c r="C7" s="38"/>
      <c r="D7" s="38"/>
      <c r="E7" s="39"/>
      <c r="F7" s="39"/>
      <c r="G7" s="64"/>
      <c r="H7" s="38"/>
      <c r="I7" s="38"/>
    </row>
    <row r="8" spans="1:9" x14ac:dyDescent="0.25">
      <c r="A8" s="65"/>
      <c r="B8" s="44"/>
      <c r="C8" s="44"/>
      <c r="D8" s="44"/>
      <c r="E8" s="45"/>
      <c r="F8" s="45"/>
      <c r="G8" s="75"/>
      <c r="H8" s="44"/>
      <c r="I8" s="44"/>
    </row>
    <row r="9" spans="1:9" x14ac:dyDescent="0.25">
      <c r="A9" s="64"/>
      <c r="B9" s="38"/>
      <c r="C9" s="38"/>
      <c r="D9" s="38"/>
      <c r="E9" s="39"/>
      <c r="F9" s="39"/>
      <c r="G9" s="78"/>
      <c r="H9" s="38"/>
      <c r="I9" s="38"/>
    </row>
    <row r="10" spans="1:9" x14ac:dyDescent="0.25">
      <c r="A10" s="66"/>
      <c r="B10" s="57"/>
      <c r="C10" s="57"/>
      <c r="D10" s="57"/>
      <c r="E10" s="58"/>
      <c r="F10" s="58"/>
      <c r="G10" s="66"/>
      <c r="H10" s="57"/>
      <c r="I10" s="57"/>
    </row>
    <row r="11" spans="1:9" x14ac:dyDescent="0.25">
      <c r="A11" s="67"/>
      <c r="B11" s="50"/>
      <c r="C11" s="50"/>
      <c r="D11" s="50"/>
      <c r="E11" s="51"/>
      <c r="F11" s="51"/>
      <c r="G11" s="67"/>
      <c r="H11" s="50"/>
      <c r="I11" s="50"/>
    </row>
    <row r="12" spans="1:9" x14ac:dyDescent="0.25">
      <c r="A12" s="66"/>
      <c r="B12" s="57"/>
      <c r="C12" s="57"/>
      <c r="D12" s="57"/>
      <c r="E12" s="58"/>
      <c r="F12" s="58"/>
      <c r="G12" s="66"/>
      <c r="H12" s="57"/>
      <c r="I12" s="57"/>
    </row>
    <row r="13" spans="1:9" x14ac:dyDescent="0.25">
      <c r="A13" s="67"/>
      <c r="B13" s="50"/>
      <c r="C13" s="50"/>
      <c r="D13" s="50"/>
      <c r="E13" s="51"/>
      <c r="F13" s="51"/>
      <c r="G13" s="67"/>
      <c r="H13" s="50"/>
      <c r="I13" s="50"/>
    </row>
    <row r="14" spans="1:9" x14ac:dyDescent="0.25">
      <c r="A14" s="66"/>
      <c r="B14" s="57"/>
      <c r="C14" s="57"/>
      <c r="D14" s="57"/>
      <c r="E14" s="58"/>
      <c r="F14" s="58"/>
      <c r="G14" s="66"/>
      <c r="H14" s="57"/>
      <c r="I14" s="57"/>
    </row>
    <row r="15" spans="1:9" x14ac:dyDescent="0.25">
      <c r="A15" s="67"/>
      <c r="B15" s="50"/>
      <c r="C15" s="50"/>
      <c r="D15" s="50"/>
      <c r="E15" s="51"/>
      <c r="F15" s="51"/>
      <c r="G15" s="67"/>
      <c r="H15" s="50"/>
      <c r="I15" s="50"/>
    </row>
    <row r="16" spans="1:9" x14ac:dyDescent="0.25">
      <c r="A16" s="66"/>
      <c r="B16" s="57"/>
      <c r="C16" s="57"/>
      <c r="D16" s="57"/>
      <c r="E16" s="58"/>
      <c r="F16" s="58"/>
      <c r="G16" s="66"/>
      <c r="H16" s="57"/>
      <c r="I16" s="57"/>
    </row>
    <row r="17" spans="1:9" x14ac:dyDescent="0.25">
      <c r="A17" s="67"/>
      <c r="B17" s="50"/>
      <c r="C17" s="50"/>
      <c r="D17" s="50"/>
      <c r="E17" s="51"/>
      <c r="F17" s="51"/>
      <c r="G17" s="67"/>
      <c r="H17" s="50"/>
      <c r="I17" s="50"/>
    </row>
    <row r="18" spans="1:9" x14ac:dyDescent="0.25">
      <c r="A18" s="66"/>
      <c r="B18" s="57"/>
      <c r="C18" s="57"/>
      <c r="D18" s="57"/>
      <c r="E18" s="58"/>
      <c r="F18" s="58"/>
      <c r="G18" s="66"/>
      <c r="H18" s="57"/>
      <c r="I18" s="57"/>
    </row>
    <row r="19" spans="1:9" x14ac:dyDescent="0.25">
      <c r="A19" s="67"/>
      <c r="B19" s="50"/>
      <c r="C19" s="50"/>
      <c r="D19" s="50"/>
      <c r="E19" s="51"/>
      <c r="F19" s="51"/>
      <c r="G19" s="67"/>
      <c r="H19" s="50"/>
      <c r="I19" s="50"/>
    </row>
    <row r="20" spans="1:9" x14ac:dyDescent="0.25">
      <c r="A20" s="66"/>
      <c r="B20" s="57"/>
      <c r="C20" s="57"/>
      <c r="D20" s="57"/>
      <c r="E20" s="58"/>
      <c r="F20" s="58"/>
      <c r="G20" s="66"/>
      <c r="H20" s="57"/>
      <c r="I20" s="57"/>
    </row>
    <row r="21" ht="15.75" customHeight="1" spans="1:9" s="1" customFormat="1" x14ac:dyDescent="0.25">
      <c r="A21" s="67"/>
      <c r="B21" s="50"/>
      <c r="C21" s="50"/>
      <c r="D21" s="50"/>
      <c r="E21" s="51"/>
      <c r="F21" s="51"/>
      <c r="G21" s="67"/>
      <c r="H21" s="50"/>
      <c r="I21" s="50"/>
    </row>
    <row r="22" ht="15.75" customHeight="1" spans="1:9" s="1" customFormat="1" x14ac:dyDescent="0.25">
      <c r="A22" s="66"/>
      <c r="B22" s="57"/>
      <c r="C22" s="57"/>
      <c r="D22" s="57"/>
      <c r="E22" s="58"/>
      <c r="F22" s="58"/>
      <c r="G22" s="66"/>
      <c r="H22" s="57"/>
      <c r="I22" s="57"/>
    </row>
    <row r="23" ht="15.75" customHeight="1" spans="1:9" s="1" customFormat="1" x14ac:dyDescent="0.25">
      <c r="A23" s="67"/>
      <c r="B23" s="50"/>
      <c r="C23" s="50"/>
      <c r="D23" s="50"/>
      <c r="E23" s="51"/>
      <c r="F23" s="51"/>
      <c r="G23" s="67"/>
      <c r="H23" s="50"/>
      <c r="I23" s="50"/>
    </row>
    <row r="24" ht="15.75" customHeight="1" spans="1:9" s="1" customFormat="1" x14ac:dyDescent="0.25">
      <c r="A24" s="66"/>
      <c r="B24" s="57"/>
      <c r="C24" s="57"/>
      <c r="D24" s="57"/>
      <c r="E24" s="58"/>
      <c r="F24" s="58"/>
      <c r="G24" s="66"/>
      <c r="H24" s="57"/>
      <c r="I24" s="57"/>
    </row>
    <row r="25" ht="15.75" customHeight="1" spans="1:9" s="1" customFormat="1" x14ac:dyDescent="0.25">
      <c r="A25" s="67"/>
      <c r="B25" s="50"/>
      <c r="C25" s="50"/>
      <c r="D25" s="50"/>
      <c r="E25" s="51"/>
      <c r="F25" s="51"/>
      <c r="G25" s="67"/>
      <c r="H25" s="50"/>
      <c r="I25" s="50"/>
    </row>
    <row r="26" ht="15.75" customHeight="1" spans="1:9" s="1" customFormat="1" x14ac:dyDescent="0.25">
      <c r="A26" s="66"/>
      <c r="B26" s="57"/>
      <c r="C26" s="57"/>
      <c r="D26" s="57"/>
      <c r="E26" s="58"/>
      <c r="F26" s="58"/>
      <c r="G26" s="66"/>
      <c r="H26" s="57"/>
      <c r="I26" s="57"/>
    </row>
    <row r="27" ht="15.75" customHeight="1" spans="1:9" s="1" customFormat="1" x14ac:dyDescent="0.25">
      <c r="A27" s="67"/>
      <c r="B27" s="50"/>
      <c r="C27" s="50"/>
      <c r="D27" s="50"/>
      <c r="E27" s="51"/>
      <c r="F27" s="51"/>
      <c r="G27" s="67"/>
      <c r="H27" s="50"/>
      <c r="I27" s="50"/>
    </row>
    <row r="28" ht="15.75" customHeight="1" spans="1:9" s="1" customFormat="1" x14ac:dyDescent="0.25">
      <c r="A28" s="66"/>
      <c r="B28" s="57"/>
      <c r="C28" s="57"/>
      <c r="D28" s="57"/>
      <c r="E28" s="58"/>
      <c r="F28" s="58"/>
      <c r="G28" s="66"/>
      <c r="H28" s="57"/>
      <c r="I28" s="57"/>
    </row>
    <row r="29" ht="15.75" customHeight="1" spans="1:9" s="1" customFormat="1" x14ac:dyDescent="0.25">
      <c r="A29" s="67"/>
      <c r="B29" s="50"/>
      <c r="C29" s="50"/>
      <c r="D29" s="50"/>
      <c r="E29" s="51"/>
      <c r="F29" s="51"/>
      <c r="G29" s="67"/>
      <c r="H29" s="50"/>
      <c r="I29" s="50"/>
    </row>
    <row r="30" ht="15.75" customHeight="1" spans="1:9" s="1" customFormat="1" x14ac:dyDescent="0.25">
      <c r="A30" s="66"/>
      <c r="B30" s="57"/>
      <c r="C30" s="57"/>
      <c r="D30" s="57"/>
      <c r="E30" s="58"/>
      <c r="F30" s="58"/>
      <c r="G30" s="66"/>
      <c r="H30" s="57"/>
      <c r="I30" s="57"/>
    </row>
    <row r="31" ht="15.75" customHeight="1" spans="1:9" s="1" customFormat="1" x14ac:dyDescent="0.25">
      <c r="A31" s="67"/>
      <c r="B31" s="50"/>
      <c r="C31" s="50"/>
      <c r="D31" s="50"/>
      <c r="E31" s="51"/>
      <c r="F31" s="51"/>
      <c r="G31" s="67"/>
      <c r="H31" s="50"/>
      <c r="I31" s="50"/>
    </row>
    <row r="32" ht="15.75" customHeight="1" spans="1:9" s="1" customFormat="1" x14ac:dyDescent="0.25">
      <c r="A32" s="66"/>
      <c r="B32" s="57"/>
      <c r="C32" s="57"/>
      <c r="D32" s="57"/>
      <c r="E32" s="58"/>
      <c r="F32" s="58"/>
      <c r="G32" s="66"/>
      <c r="H32" s="57"/>
      <c r="I32" s="57"/>
    </row>
    <row r="33" ht="15.75" customHeight="1" spans="1:9" s="1" customFormat="1" x14ac:dyDescent="0.25">
      <c r="A33" s="67"/>
      <c r="B33" s="50"/>
      <c r="C33" s="50"/>
      <c r="D33" s="50"/>
      <c r="E33" s="51"/>
      <c r="F33" s="51"/>
      <c r="G33" s="67"/>
      <c r="H33" s="50"/>
      <c r="I33" s="50"/>
    </row>
    <row r="34" ht="15.75" customHeight="1" spans="1:9" s="1" customFormat="1" x14ac:dyDescent="0.25">
      <c r="A34" s="66"/>
      <c r="B34" s="57"/>
      <c r="C34" s="57"/>
      <c r="D34" s="57"/>
      <c r="E34" s="58"/>
      <c r="F34" s="58"/>
      <c r="G34" s="66"/>
      <c r="H34" s="57"/>
      <c r="I34" s="57"/>
    </row>
    <row r="35" ht="15.75" customHeight="1" spans="1:9" s="1" customFormat="1" x14ac:dyDescent="0.25">
      <c r="A35" s="67"/>
      <c r="B35" s="50"/>
      <c r="C35" s="50"/>
      <c r="D35" s="50"/>
      <c r="E35" s="51"/>
      <c r="F35" s="51"/>
      <c r="G35" s="67"/>
      <c r="H35" s="50"/>
      <c r="I35" s="50"/>
    </row>
    <row r="36" ht="15.75" customHeight="1" spans="1:9" s="1" customFormat="1" x14ac:dyDescent="0.25">
      <c r="A36" s="66"/>
      <c r="B36" s="57"/>
      <c r="C36" s="57"/>
      <c r="D36" s="57"/>
      <c r="E36" s="58"/>
      <c r="F36" s="58"/>
      <c r="G36" s="66"/>
      <c r="H36" s="57"/>
      <c r="I36" s="57"/>
    </row>
    <row r="37" ht="15.75" customHeight="1" spans="1:9" s="1" customFormat="1" x14ac:dyDescent="0.25">
      <c r="A37" s="67"/>
      <c r="B37" s="50"/>
      <c r="C37" s="50"/>
      <c r="D37" s="50"/>
      <c r="E37" s="51"/>
      <c r="F37" s="51"/>
      <c r="G37" s="67"/>
      <c r="H37" s="50"/>
      <c r="I37" s="50"/>
    </row>
    <row r="38" ht="15.75" customHeight="1" spans="1:9" s="1" customFormat="1" x14ac:dyDescent="0.25">
      <c r="A38" s="66"/>
      <c r="B38" s="57"/>
      <c r="C38" s="57"/>
      <c r="D38" s="57"/>
      <c r="E38" s="58"/>
      <c r="F38" s="58"/>
      <c r="G38" s="66"/>
      <c r="H38" s="57"/>
      <c r="I38" s="57"/>
    </row>
    <row r="39" ht="15.75" customHeight="1" spans="1:9" s="1" customFormat="1" x14ac:dyDescent="0.25">
      <c r="A39" s="67"/>
      <c r="B39" s="50"/>
      <c r="C39" s="50"/>
      <c r="D39" s="50"/>
      <c r="E39" s="51"/>
      <c r="F39" s="51"/>
      <c r="G39" s="67"/>
      <c r="H39" s="50"/>
      <c r="I39" s="50"/>
    </row>
    <row r="40" ht="15.75" customHeight="1" spans="1:9" s="1" customFormat="1" x14ac:dyDescent="0.25">
      <c r="A40" s="66"/>
      <c r="B40" s="57"/>
      <c r="C40" s="57"/>
      <c r="D40" s="57"/>
      <c r="E40" s="58"/>
      <c r="F40" s="58"/>
      <c r="G40" s="66"/>
      <c r="H40" s="57"/>
      <c r="I40" s="57"/>
    </row>
    <row r="41" ht="15.75" customHeight="1" spans="1:9" s="1" customFormat="1" x14ac:dyDescent="0.25">
      <c r="A41" s="67"/>
      <c r="B41" s="50"/>
      <c r="C41" s="50"/>
      <c r="D41" s="50"/>
      <c r="E41" s="51"/>
      <c r="F41" s="51"/>
      <c r="G41" s="67"/>
      <c r="H41" s="50"/>
      <c r="I41" s="50"/>
    </row>
    <row r="42" ht="15.75" customHeight="1" spans="1:9" s="1" customFormat="1" x14ac:dyDescent="0.25">
      <c r="A42" s="66"/>
      <c r="B42" s="57"/>
      <c r="C42" s="57"/>
      <c r="D42" s="57"/>
      <c r="E42" s="58"/>
      <c r="F42" s="58"/>
      <c r="G42" s="66"/>
      <c r="H42" s="57"/>
      <c r="I42" s="57"/>
    </row>
    <row r="43" ht="15.75" customHeight="1" spans="1:9" s="1" customFormat="1" x14ac:dyDescent="0.25">
      <c r="A43" s="67"/>
      <c r="B43" s="50"/>
      <c r="C43" s="50"/>
      <c r="D43" s="50"/>
      <c r="E43" s="51"/>
      <c r="F43" s="51"/>
      <c r="G43" s="67"/>
      <c r="H43" s="50"/>
      <c r="I43" s="50"/>
    </row>
    <row r="44" ht="15.75" customHeight="1" spans="1:9" s="1" customFormat="1" x14ac:dyDescent="0.25">
      <c r="A44" s="66"/>
      <c r="B44" s="57"/>
      <c r="C44" s="57"/>
      <c r="D44" s="57"/>
      <c r="E44" s="58"/>
      <c r="F44" s="58"/>
      <c r="G44" s="66"/>
      <c r="H44" s="57"/>
      <c r="I44" s="57"/>
    </row>
    <row r="45" ht="15.75" customHeight="1" spans="1:9" s="1" customFormat="1" x14ac:dyDescent="0.25">
      <c r="A45" s="67"/>
      <c r="B45" s="50"/>
      <c r="C45" s="50"/>
      <c r="D45" s="50"/>
      <c r="E45" s="51"/>
      <c r="F45" s="51"/>
      <c r="G45" s="67"/>
      <c r="H45" s="50"/>
      <c r="I45" s="50"/>
    </row>
    <row r="46" ht="15.75" customHeight="1" spans="1:9" s="1" customFormat="1" x14ac:dyDescent="0.25">
      <c r="A46" s="66"/>
      <c r="B46" s="57"/>
      <c r="C46" s="57"/>
      <c r="D46" s="57"/>
      <c r="E46" s="58"/>
      <c r="F46" s="58"/>
      <c r="G46" s="66"/>
      <c r="H46" s="57"/>
      <c r="I46" s="57"/>
    </row>
    <row r="47" ht="15.75" customHeight="1" spans="1:9" s="1" customFormat="1" x14ac:dyDescent="0.25">
      <c r="A47" s="67"/>
      <c r="B47" s="50"/>
      <c r="C47" s="50"/>
      <c r="D47" s="50"/>
      <c r="E47" s="51"/>
      <c r="F47" s="51"/>
      <c r="G47" s="67"/>
      <c r="H47" s="50"/>
      <c r="I47" s="50"/>
    </row>
    <row r="48" ht="15.75" customHeight="1" spans="1:9" s="1" customFormat="1" x14ac:dyDescent="0.25">
      <c r="A48" s="66"/>
      <c r="B48" s="57"/>
      <c r="C48" s="57"/>
      <c r="D48" s="57"/>
      <c r="E48" s="58"/>
      <c r="F48" s="58"/>
      <c r="G48" s="66"/>
      <c r="H48" s="57"/>
      <c r="I48" s="57"/>
    </row>
    <row r="49" ht="15.75" customHeight="1" spans="1:9" s="1" customFormat="1" x14ac:dyDescent="0.25">
      <c r="A49" s="67"/>
      <c r="B49" s="50"/>
      <c r="C49" s="50"/>
      <c r="D49" s="50"/>
      <c r="E49" s="51"/>
      <c r="F49" s="51"/>
      <c r="G49" s="67"/>
      <c r="H49" s="50"/>
      <c r="I49" s="50"/>
    </row>
    <row r="50" ht="15.75" customHeight="1" spans="1:9" s="1" customFormat="1" x14ac:dyDescent="0.25">
      <c r="A50" s="66"/>
      <c r="B50" s="57"/>
      <c r="C50" s="57"/>
      <c r="D50" s="57"/>
      <c r="E50" s="58"/>
      <c r="F50" s="58"/>
      <c r="G50" s="66"/>
      <c r="H50" s="57"/>
      <c r="I50" s="57"/>
    </row>
    <row r="51" ht="15.75" customHeight="1" spans="1:9" s="1" customFormat="1" x14ac:dyDescent="0.25">
      <c r="A51" s="67"/>
      <c r="B51" s="50"/>
      <c r="C51" s="50"/>
      <c r="D51" s="50"/>
      <c r="E51" s="51"/>
      <c r="F51" s="51"/>
      <c r="G51" s="67"/>
      <c r="H51" s="50"/>
      <c r="I51" s="50"/>
    </row>
    <row r="52" ht="15.75" customHeight="1" spans="1:9" s="1" customFormat="1" x14ac:dyDescent="0.25">
      <c r="A52" s="66"/>
      <c r="B52" s="57"/>
      <c r="C52" s="57"/>
      <c r="D52" s="57"/>
      <c r="E52" s="58"/>
      <c r="F52" s="58"/>
      <c r="G52" s="66"/>
      <c r="H52" s="57"/>
      <c r="I52" s="57"/>
    </row>
    <row r="53" ht="15.75" customHeight="1" spans="1:9" s="1" customFormat="1" x14ac:dyDescent="0.25">
      <c r="A53" s="67"/>
      <c r="B53" s="50"/>
      <c r="C53" s="50"/>
      <c r="D53" s="50"/>
      <c r="E53" s="51"/>
      <c r="F53" s="51"/>
      <c r="G53" s="67"/>
      <c r="H53" s="50"/>
      <c r="I53" s="50"/>
    </row>
    <row r="54" ht="15.75" customHeight="1" spans="1:9" s="1" customFormat="1" x14ac:dyDescent="0.25">
      <c r="A54" s="66"/>
      <c r="B54" s="57"/>
      <c r="C54" s="57"/>
      <c r="D54" s="57"/>
      <c r="E54" s="58"/>
      <c r="F54" s="58"/>
      <c r="G54" s="66"/>
      <c r="H54" s="57"/>
      <c r="I54" s="57"/>
    </row>
    <row r="55" ht="15.75" customHeight="1" spans="1:9" s="1" customFormat="1" x14ac:dyDescent="0.25">
      <c r="A55" s="67"/>
      <c r="B55" s="50"/>
      <c r="C55" s="50"/>
      <c r="D55" s="50"/>
      <c r="E55" s="51"/>
      <c r="F55" s="51"/>
      <c r="G55" s="67"/>
      <c r="H55" s="50"/>
      <c r="I55" s="50"/>
    </row>
    <row r="56" ht="15.75" customHeight="1" spans="1:9" s="1" customFormat="1" x14ac:dyDescent="0.25">
      <c r="A56" s="66"/>
      <c r="B56" s="57"/>
      <c r="C56" s="57"/>
      <c r="D56" s="57"/>
      <c r="E56" s="58"/>
      <c r="F56" s="58"/>
      <c r="G56" s="66"/>
      <c r="H56" s="57"/>
      <c r="I56" s="57"/>
    </row>
    <row r="57" ht="15.75" customHeight="1" spans="1:9" s="1" customFormat="1" x14ac:dyDescent="0.25">
      <c r="A57" s="67"/>
      <c r="B57" s="50"/>
      <c r="C57" s="50"/>
      <c r="D57" s="50"/>
      <c r="E57" s="51"/>
      <c r="F57" s="51"/>
      <c r="G57" s="67"/>
      <c r="H57" s="50"/>
      <c r="I57" s="50"/>
    </row>
    <row r="58" ht="15.75" customHeight="1" spans="1:9" s="1" customFormat="1" x14ac:dyDescent="0.25">
      <c r="A58" s="66"/>
      <c r="B58" s="57"/>
      <c r="C58" s="57"/>
      <c r="D58" s="57"/>
      <c r="E58" s="58"/>
      <c r="F58" s="58"/>
      <c r="G58" s="66"/>
      <c r="H58" s="57"/>
      <c r="I58" s="57"/>
    </row>
    <row r="59" ht="15.75" customHeight="1" spans="1:9" s="1" customFormat="1" x14ac:dyDescent="0.25">
      <c r="A59" s="67"/>
      <c r="B59" s="50"/>
      <c r="C59" s="50"/>
      <c r="D59" s="50"/>
      <c r="E59" s="51"/>
      <c r="F59" s="51"/>
      <c r="G59" s="67"/>
      <c r="H59" s="50"/>
      <c r="I59" s="50"/>
    </row>
    <row r="60" ht="15.75" customHeight="1" spans="1:9" s="1" customFormat="1" x14ac:dyDescent="0.25">
      <c r="A60" s="66"/>
      <c r="B60" s="57"/>
      <c r="C60" s="57"/>
      <c r="D60" s="57"/>
      <c r="E60" s="58"/>
      <c r="F60" s="58"/>
      <c r="G60" s="66"/>
      <c r="H60" s="57"/>
      <c r="I60" s="57"/>
    </row>
    <row r="61" ht="15.75" customHeight="1" spans="1:9" s="1" customFormat="1" x14ac:dyDescent="0.25">
      <c r="A61" s="67"/>
      <c r="B61" s="50"/>
      <c r="C61" s="50"/>
      <c r="D61" s="50"/>
      <c r="E61" s="51"/>
      <c r="F61" s="51"/>
      <c r="G61" s="67"/>
      <c r="H61" s="50"/>
      <c r="I61" s="50"/>
    </row>
    <row r="62" ht="15.75" customHeight="1" spans="1:9" s="1" customFormat="1" x14ac:dyDescent="0.25">
      <c r="A62" s="66"/>
      <c r="B62" s="57"/>
      <c r="C62" s="57"/>
      <c r="D62" s="57"/>
      <c r="E62" s="58"/>
      <c r="F62" s="58"/>
      <c r="G62" s="66"/>
      <c r="H62" s="57"/>
      <c r="I62" s="57"/>
    </row>
    <row r="63" ht="15.75" customHeight="1" spans="1:9" s="1" customFormat="1" x14ac:dyDescent="0.25">
      <c r="A63" s="67"/>
      <c r="B63" s="50"/>
      <c r="C63" s="50"/>
      <c r="D63" s="50"/>
      <c r="E63" s="51"/>
      <c r="F63" s="51"/>
      <c r="G63" s="67"/>
      <c r="H63" s="50"/>
      <c r="I63" s="50"/>
    </row>
    <row r="64" ht="15.75" customHeight="1" spans="1:9" s="1" customFormat="1" x14ac:dyDescent="0.25">
      <c r="A64" s="66"/>
      <c r="B64" s="57"/>
      <c r="C64" s="57"/>
      <c r="D64" s="57"/>
      <c r="E64" s="58"/>
      <c r="F64" s="58"/>
      <c r="G64" s="66"/>
      <c r="H64" s="57"/>
      <c r="I64" s="57"/>
    </row>
    <row r="65" ht="15.75" customHeight="1" spans="1:9" s="1" customFormat="1" x14ac:dyDescent="0.25">
      <c r="A65" s="67"/>
      <c r="B65" s="50"/>
      <c r="C65" s="50"/>
      <c r="D65" s="50"/>
      <c r="E65" s="51"/>
      <c r="F65" s="51"/>
      <c r="G65" s="67"/>
      <c r="H65" s="50"/>
      <c r="I65" s="50"/>
    </row>
    <row r="66" ht="15.75" customHeight="1" spans="1:9" s="1" customFormat="1" x14ac:dyDescent="0.25">
      <c r="A66" s="66"/>
      <c r="B66" s="57"/>
      <c r="C66" s="57"/>
      <c r="D66" s="57"/>
      <c r="E66" s="58"/>
      <c r="F66" s="58"/>
      <c r="G66" s="66"/>
      <c r="H66" s="57"/>
      <c r="I66" s="57"/>
    </row>
    <row r="67" ht="15.75" customHeight="1" spans="1:9" s="1" customFormat="1" x14ac:dyDescent="0.25">
      <c r="A67" s="67"/>
      <c r="B67" s="50"/>
      <c r="C67" s="50"/>
      <c r="D67" s="50"/>
      <c r="E67" s="51"/>
      <c r="F67" s="51"/>
      <c r="G67" s="67"/>
      <c r="H67" s="50"/>
      <c r="I67" s="50"/>
    </row>
    <row r="68" ht="15.75" customHeight="1" spans="1:9" s="1" customFormat="1" x14ac:dyDescent="0.25">
      <c r="A68" s="66"/>
      <c r="B68" s="57"/>
      <c r="C68" s="57"/>
      <c r="D68" s="57"/>
      <c r="E68" s="58"/>
      <c r="F68" s="58"/>
      <c r="G68" s="66"/>
      <c r="H68" s="57"/>
      <c r="I68" s="57"/>
    </row>
    <row r="69" ht="15.75" customHeight="1" spans="1:9" s="1" customFormat="1" x14ac:dyDescent="0.25">
      <c r="A69" s="67"/>
      <c r="B69" s="50"/>
      <c r="C69" s="50"/>
      <c r="D69" s="50"/>
      <c r="E69" s="51"/>
      <c r="F69" s="51"/>
      <c r="G69" s="67"/>
      <c r="H69" s="50"/>
      <c r="I69" s="50"/>
    </row>
    <row r="70" ht="15.75" customHeight="1" spans="1:9" s="1" customFormat="1" x14ac:dyDescent="0.25">
      <c r="A70" s="66"/>
      <c r="B70" s="57"/>
      <c r="C70" s="57"/>
      <c r="D70" s="57"/>
      <c r="E70" s="58"/>
      <c r="F70" s="58"/>
      <c r="G70" s="66"/>
      <c r="H70" s="57"/>
      <c r="I70" s="57"/>
    </row>
    <row r="71" ht="15.75" customHeight="1" spans="1:9" s="1" customFormat="1" x14ac:dyDescent="0.25">
      <c r="A71" s="67"/>
      <c r="B71" s="50"/>
      <c r="C71" s="50"/>
      <c r="D71" s="50"/>
      <c r="E71" s="51"/>
      <c r="F71" s="51"/>
      <c r="G71" s="67"/>
      <c r="H71" s="50"/>
      <c r="I71" s="50"/>
    </row>
    <row r="72" ht="15.75" customHeight="1" spans="1:9" s="1" customFormat="1" x14ac:dyDescent="0.25">
      <c r="A72" s="66"/>
      <c r="B72" s="57"/>
      <c r="C72" s="57"/>
      <c r="D72" s="57"/>
      <c r="E72" s="58"/>
      <c r="F72" s="58"/>
      <c r="G72" s="66"/>
      <c r="H72" s="57"/>
      <c r="I72" s="57"/>
    </row>
    <row r="73" ht="15.75" customHeight="1" spans="1:9" s="1" customFormat="1" x14ac:dyDescent="0.25">
      <c r="A73" s="67"/>
      <c r="B73" s="50"/>
      <c r="C73" s="50"/>
      <c r="D73" s="50"/>
      <c r="E73" s="51"/>
      <c r="F73" s="51"/>
      <c r="G73" s="67"/>
      <c r="H73" s="50"/>
      <c r="I73" s="50"/>
    </row>
    <row r="74" ht="15.75" customHeight="1" spans="1:9" s="1" customFormat="1" x14ac:dyDescent="0.25">
      <c r="A74" s="66"/>
      <c r="B74" s="57"/>
      <c r="C74" s="57"/>
      <c r="D74" s="57"/>
      <c r="E74" s="58"/>
      <c r="F74" s="58"/>
      <c r="G74" s="66"/>
      <c r="H74" s="57"/>
      <c r="I74" s="57"/>
    </row>
    <row r="75" ht="15.75" customHeight="1" spans="1:9" s="1" customFormat="1" x14ac:dyDescent="0.25">
      <c r="A75" s="67"/>
      <c r="B75" s="50"/>
      <c r="C75" s="50"/>
      <c r="D75" s="50"/>
      <c r="E75" s="51"/>
      <c r="F75" s="51"/>
      <c r="G75" s="67"/>
      <c r="H75" s="50"/>
      <c r="I75" s="50"/>
    </row>
    <row r="76" ht="15.75" customHeight="1" spans="1:9" s="1" customFormat="1" x14ac:dyDescent="0.25">
      <c r="A76" s="66"/>
      <c r="B76" s="57"/>
      <c r="C76" s="57"/>
      <c r="D76" s="57"/>
      <c r="E76" s="58"/>
      <c r="F76" s="58"/>
      <c r="G76" s="66"/>
      <c r="H76" s="57"/>
      <c r="I76" s="57"/>
    </row>
    <row r="77" ht="15.75" customHeight="1" spans="1:9" s="1" customFormat="1" x14ac:dyDescent="0.25">
      <c r="A77" s="67"/>
      <c r="B77" s="50"/>
      <c r="C77" s="50"/>
      <c r="D77" s="50"/>
      <c r="E77" s="51"/>
      <c r="F77" s="51"/>
      <c r="G77" s="67"/>
      <c r="H77" s="50"/>
      <c r="I77" s="50"/>
    </row>
    <row r="78" ht="15.75" customHeight="1" spans="1:9" s="1" customFormat="1" x14ac:dyDescent="0.25">
      <c r="A78" s="66"/>
      <c r="B78" s="57"/>
      <c r="C78" s="57"/>
      <c r="D78" s="57"/>
      <c r="E78" s="58"/>
      <c r="F78" s="58"/>
      <c r="G78" s="66"/>
      <c r="H78" s="57"/>
      <c r="I78" s="57"/>
    </row>
    <row r="79" ht="15.75" customHeight="1" spans="1:9" s="1" customFormat="1" x14ac:dyDescent="0.25">
      <c r="A79" s="67"/>
      <c r="B79" s="50"/>
      <c r="C79" s="50"/>
      <c r="D79" s="50"/>
      <c r="E79" s="51"/>
      <c r="F79" s="51"/>
      <c r="G79" s="67"/>
      <c r="H79" s="50"/>
      <c r="I79" s="50"/>
    </row>
    <row r="80" ht="15.75" customHeight="1" spans="1:9" s="1" customFormat="1" x14ac:dyDescent="0.25">
      <c r="A80" s="66"/>
      <c r="B80" s="57"/>
      <c r="C80" s="57"/>
      <c r="D80" s="57"/>
      <c r="E80" s="58"/>
      <c r="F80" s="58"/>
      <c r="G80" s="66"/>
      <c r="H80" s="57"/>
      <c r="I80" s="57"/>
    </row>
    <row r="81" ht="15.75" customHeight="1" spans="1:9" s="1" customFormat="1" x14ac:dyDescent="0.25">
      <c r="A81" s="67"/>
      <c r="B81" s="50"/>
      <c r="C81" s="50"/>
      <c r="D81" s="50"/>
      <c r="E81" s="51"/>
      <c r="F81" s="51"/>
      <c r="G81" s="67"/>
      <c r="H81" s="50"/>
      <c r="I81" s="50"/>
    </row>
    <row r="82" ht="15.75" customHeight="1" spans="1:9" s="1" customFormat="1" x14ac:dyDescent="0.25">
      <c r="A82" s="66"/>
      <c r="B82" s="57"/>
      <c r="C82" s="57"/>
      <c r="D82" s="57"/>
      <c r="E82" s="58"/>
      <c r="F82" s="58"/>
      <c r="G82" s="66"/>
      <c r="H82" s="57"/>
      <c r="I82" s="57"/>
    </row>
    <row r="83" ht="15.75" customHeight="1" spans="1:9" s="1" customFormat="1" x14ac:dyDescent="0.25">
      <c r="A83" s="67"/>
      <c r="B83" s="50"/>
      <c r="C83" s="50"/>
      <c r="D83" s="50"/>
      <c r="E83" s="51"/>
      <c r="F83" s="51"/>
      <c r="G83" s="67"/>
      <c r="H83" s="50"/>
      <c r="I83" s="50"/>
    </row>
    <row r="84" ht="15.75" customHeight="1" spans="1:9" s="1" customFormat="1" x14ac:dyDescent="0.25">
      <c r="A84" s="66"/>
      <c r="B84" s="57"/>
      <c r="C84" s="57"/>
      <c r="D84" s="57"/>
      <c r="E84" s="58"/>
      <c r="F84" s="58"/>
      <c r="G84" s="66"/>
      <c r="H84" s="57"/>
      <c r="I84" s="57"/>
    </row>
    <row r="85" ht="15.75" customHeight="1" spans="1:9" s="1" customFormat="1" x14ac:dyDescent="0.25">
      <c r="A85" s="67"/>
      <c r="B85" s="50"/>
      <c r="C85" s="50"/>
      <c r="D85" s="50"/>
      <c r="E85" s="51"/>
      <c r="F85" s="51"/>
      <c r="G85" s="67"/>
      <c r="H85" s="50"/>
      <c r="I85" s="50"/>
    </row>
    <row r="86" ht="15.75" customHeight="1" spans="1:9" s="1" customFormat="1" x14ac:dyDescent="0.25">
      <c r="A86" s="66"/>
      <c r="B86" s="57"/>
      <c r="C86" s="57"/>
      <c r="D86" s="57"/>
      <c r="E86" s="58"/>
      <c r="F86" s="58"/>
      <c r="G86" s="66"/>
      <c r="H86" s="57"/>
      <c r="I86" s="57"/>
    </row>
    <row r="87" ht="15.75" customHeight="1" spans="1:9" s="1" customFormat="1" x14ac:dyDescent="0.25">
      <c r="A87" s="67"/>
      <c r="B87" s="50"/>
      <c r="C87" s="50"/>
      <c r="D87" s="50"/>
      <c r="E87" s="51"/>
      <c r="F87" s="51"/>
      <c r="G87" s="67"/>
      <c r="H87" s="50"/>
      <c r="I87" s="50"/>
    </row>
    <row r="88" ht="15.75" customHeight="1" spans="1:9" s="1" customFormat="1" x14ac:dyDescent="0.25">
      <c r="A88" s="66"/>
      <c r="B88" s="57"/>
      <c r="C88" s="57"/>
      <c r="D88" s="57"/>
      <c r="E88" s="58"/>
      <c r="F88" s="58"/>
      <c r="G88" s="66"/>
      <c r="H88" s="57"/>
      <c r="I88" s="57"/>
    </row>
    <row r="89" ht="15.75" customHeight="1" spans="1:9" s="1" customFormat="1" x14ac:dyDescent="0.25">
      <c r="A89" s="67"/>
      <c r="B89" s="50"/>
      <c r="C89" s="50"/>
      <c r="D89" s="50"/>
      <c r="E89" s="51"/>
      <c r="F89" s="51"/>
      <c r="G89" s="67"/>
      <c r="H89" s="50"/>
      <c r="I89" s="50"/>
    </row>
    <row r="90" ht="15.75" customHeight="1" spans="1:9" s="1" customFormat="1" x14ac:dyDescent="0.25">
      <c r="A90" s="66"/>
      <c r="B90" s="57"/>
      <c r="C90" s="57"/>
      <c r="D90" s="57"/>
      <c r="E90" s="58"/>
      <c r="F90" s="58"/>
      <c r="G90" s="66"/>
      <c r="H90" s="57"/>
      <c r="I90" s="57"/>
    </row>
    <row r="91" ht="15.75" customHeight="1" spans="1:9" s="1" customFormat="1" x14ac:dyDescent="0.25">
      <c r="A91" s="67"/>
      <c r="B91" s="50"/>
      <c r="C91" s="50"/>
      <c r="D91" s="50"/>
      <c r="E91" s="51"/>
      <c r="F91" s="51"/>
      <c r="G91" s="67"/>
      <c r="H91" s="50"/>
      <c r="I91" s="50"/>
    </row>
    <row r="92" ht="15.75" customHeight="1" spans="1:9" s="1" customFormat="1" x14ac:dyDescent="0.25">
      <c r="A92" s="66"/>
      <c r="B92" s="57"/>
      <c r="C92" s="57"/>
      <c r="D92" s="57"/>
      <c r="E92" s="58"/>
      <c r="F92" s="58"/>
      <c r="G92" s="66"/>
      <c r="H92" s="57"/>
      <c r="I92" s="57"/>
    </row>
    <row r="93" ht="15.75" customHeight="1" spans="1:9" s="1" customFormat="1" x14ac:dyDescent="0.25">
      <c r="A93" s="67"/>
      <c r="B93" s="50"/>
      <c r="C93" s="50"/>
      <c r="D93" s="50"/>
      <c r="E93" s="51"/>
      <c r="F93" s="51"/>
      <c r="G93" s="67"/>
      <c r="H93" s="50"/>
      <c r="I93" s="50"/>
    </row>
    <row r="94" ht="15.75" customHeight="1" spans="1:9" s="1" customFormat="1" x14ac:dyDescent="0.25">
      <c r="A94" s="66"/>
      <c r="B94" s="57"/>
      <c r="C94" s="57"/>
      <c r="D94" s="57"/>
      <c r="E94" s="58"/>
      <c r="F94" s="58"/>
      <c r="G94" s="66"/>
      <c r="H94" s="57"/>
      <c r="I94" s="57"/>
    </row>
    <row r="95" ht="15.75" customHeight="1" spans="1:9" s="1" customFormat="1" x14ac:dyDescent="0.25">
      <c r="A95" s="67"/>
      <c r="B95" s="50"/>
      <c r="C95" s="50"/>
      <c r="D95" s="50"/>
      <c r="E95" s="51"/>
      <c r="F95" s="51"/>
      <c r="G95" s="67"/>
      <c r="H95" s="50"/>
      <c r="I95" s="50"/>
    </row>
    <row r="96" ht="15.75" customHeight="1" spans="1:9" s="1" customFormat="1" x14ac:dyDescent="0.25">
      <c r="A96" s="66"/>
      <c r="B96" s="57"/>
      <c r="C96" s="57"/>
      <c r="D96" s="57"/>
      <c r="E96" s="58"/>
      <c r="F96" s="58"/>
      <c r="G96" s="66"/>
      <c r="H96" s="57"/>
      <c r="I96" s="57"/>
    </row>
    <row r="97" ht="15.75" customHeight="1" spans="1:9" s="1" customFormat="1" x14ac:dyDescent="0.25">
      <c r="A97" s="67"/>
      <c r="B97" s="50"/>
      <c r="C97" s="50"/>
      <c r="D97" s="50"/>
      <c r="E97" s="51"/>
      <c r="F97" s="51"/>
      <c r="G97" s="67"/>
      <c r="H97" s="50"/>
      <c r="I97" s="50"/>
    </row>
    <row r="98" ht="15.75" customHeight="1" spans="1:9" s="1" customFormat="1" x14ac:dyDescent="0.25">
      <c r="A98" s="66"/>
      <c r="B98" s="57"/>
      <c r="C98" s="57"/>
      <c r="D98" s="57"/>
      <c r="E98" s="58"/>
      <c r="F98" s="58"/>
      <c r="G98" s="66"/>
      <c r="H98" s="57"/>
      <c r="I98" s="57"/>
    </row>
    <row r="99" ht="15.75" customHeight="1" spans="1:9" s="1" customFormat="1" x14ac:dyDescent="0.25">
      <c r="A99" s="67"/>
      <c r="B99" s="50"/>
      <c r="C99" s="50"/>
      <c r="D99" s="50"/>
      <c r="E99" s="51"/>
      <c r="F99" s="51"/>
      <c r="G99" s="67"/>
      <c r="H99" s="50"/>
      <c r="I99" s="50"/>
    </row>
    <row r="100" ht="15.75" customHeight="1" spans="1:9" s="1" customFormat="1" x14ac:dyDescent="0.25">
      <c r="A100" s="66"/>
      <c r="B100" s="57"/>
      <c r="C100" s="57"/>
      <c r="D100" s="57"/>
      <c r="E100" s="58"/>
      <c r="F100" s="58"/>
      <c r="G100" s="66"/>
      <c r="H100" s="57"/>
      <c r="I100" s="57"/>
    </row>
    <row r="101" ht="15.75" customHeight="1" spans="1:9" s="1" customFormat="1" x14ac:dyDescent="0.25">
      <c r="A101" s="67"/>
      <c r="B101" s="50"/>
      <c r="C101" s="50"/>
      <c r="D101" s="50"/>
      <c r="E101" s="51"/>
      <c r="F101" s="51"/>
      <c r="G101" s="67"/>
      <c r="H101" s="50"/>
      <c r="I101" s="50"/>
    </row>
    <row r="102" ht="15.75" customHeight="1" spans="1:9" s="1" customFormat="1" x14ac:dyDescent="0.25">
      <c r="A102" s="66"/>
      <c r="B102" s="57"/>
      <c r="C102" s="57"/>
      <c r="D102" s="57"/>
      <c r="E102" s="58"/>
      <c r="F102" s="58"/>
      <c r="G102" s="66"/>
      <c r="H102" s="57"/>
      <c r="I102" s="57"/>
    </row>
    <row r="103" ht="15.75" customHeight="1" spans="1:9" s="1" customFormat="1" x14ac:dyDescent="0.25">
      <c r="A103" s="67"/>
      <c r="B103" s="50"/>
      <c r="C103" s="50"/>
      <c r="D103" s="50"/>
      <c r="E103" s="51"/>
      <c r="F103" s="51"/>
      <c r="G103" s="67"/>
      <c r="H103" s="50"/>
      <c r="I103" s="50"/>
    </row>
    <row r="104" ht="15.75" customHeight="1" spans="1:9" s="1" customFormat="1" x14ac:dyDescent="0.25">
      <c r="A104" s="66"/>
      <c r="B104" s="57"/>
      <c r="C104" s="57"/>
      <c r="D104" s="57"/>
      <c r="E104" s="58"/>
      <c r="F104" s="58"/>
      <c r="G104" s="66"/>
      <c r="H104" s="57"/>
      <c r="I104" s="57"/>
    </row>
    <row r="105" ht="15.75" customHeight="1" spans="1:9" s="1" customFormat="1" x14ac:dyDescent="0.25">
      <c r="A105" s="67"/>
      <c r="B105" s="50"/>
      <c r="C105" s="50"/>
      <c r="D105" s="50"/>
      <c r="E105" s="51"/>
      <c r="F105" s="51"/>
      <c r="G105" s="67"/>
      <c r="H105" s="50"/>
      <c r="I105" s="50"/>
    </row>
    <row r="106" ht="15.75" customHeight="1" spans="1:9" s="1" customFormat="1" x14ac:dyDescent="0.25">
      <c r="A106" s="66"/>
      <c r="B106" s="57"/>
      <c r="C106" s="57"/>
      <c r="D106" s="57"/>
      <c r="E106" s="58"/>
      <c r="F106" s="58"/>
      <c r="G106" s="66"/>
      <c r="H106" s="57"/>
      <c r="I106" s="57"/>
    </row>
    <row r="107" ht="15.75" customHeight="1" spans="1:9" s="1" customFormat="1" x14ac:dyDescent="0.25">
      <c r="A107" s="67"/>
      <c r="B107" s="50"/>
      <c r="C107" s="50"/>
      <c r="D107" s="50"/>
      <c r="E107" s="51"/>
      <c r="F107" s="51"/>
      <c r="G107" s="67"/>
      <c r="H107" s="50"/>
      <c r="I107" s="50"/>
    </row>
    <row r="108" ht="15.75" customHeight="1" spans="1:9" s="1" customFormat="1" x14ac:dyDescent="0.25">
      <c r="A108" s="66"/>
      <c r="B108" s="57"/>
      <c r="C108" s="57"/>
      <c r="D108" s="57"/>
      <c r="E108" s="58"/>
      <c r="F108" s="58"/>
      <c r="G108" s="66"/>
      <c r="H108" s="57"/>
      <c r="I108" s="57"/>
    </row>
    <row r="109" ht="15.75" customHeight="1" spans="1:9" s="1" customFormat="1" x14ac:dyDescent="0.25">
      <c r="A109" s="67"/>
      <c r="B109" s="50"/>
      <c r="C109" s="50"/>
      <c r="D109" s="50"/>
      <c r="E109" s="51"/>
      <c r="F109" s="51"/>
      <c r="G109" s="67"/>
      <c r="H109" s="50"/>
      <c r="I109" s="50"/>
    </row>
    <row r="110" ht="15.75" customHeight="1" spans="1:9" s="1" customFormat="1" x14ac:dyDescent="0.25">
      <c r="A110" s="66"/>
      <c r="B110" s="57"/>
      <c r="C110" s="57"/>
      <c r="D110" s="57"/>
      <c r="E110" s="58"/>
      <c r="F110" s="58"/>
      <c r="G110" s="66"/>
      <c r="H110" s="57"/>
      <c r="I110" s="57"/>
    </row>
    <row r="111" ht="15.75" customHeight="1" spans="1:9" s="1" customFormat="1" x14ac:dyDescent="0.25">
      <c r="A111" s="67"/>
      <c r="B111" s="50"/>
      <c r="C111" s="50"/>
      <c r="D111" s="50"/>
      <c r="E111" s="51"/>
      <c r="F111" s="51"/>
      <c r="G111" s="67"/>
      <c r="H111" s="50"/>
      <c r="I111" s="50"/>
    </row>
    <row r="112" ht="15.75" customHeight="1" spans="1:9" s="1" customFormat="1" x14ac:dyDescent="0.25">
      <c r="A112" s="66"/>
      <c r="B112" s="57"/>
      <c r="C112" s="57"/>
      <c r="D112" s="57"/>
      <c r="E112" s="58"/>
      <c r="F112" s="58"/>
      <c r="G112" s="66"/>
      <c r="H112" s="57"/>
      <c r="I112" s="57"/>
    </row>
    <row r="113" ht="15.75" customHeight="1" spans="1:9" s="1" customFormat="1" x14ac:dyDescent="0.25">
      <c r="A113" s="67"/>
      <c r="B113" s="50"/>
      <c r="C113" s="50"/>
      <c r="D113" s="50"/>
      <c r="E113" s="51"/>
      <c r="F113" s="51"/>
      <c r="G113" s="67"/>
      <c r="H113" s="50"/>
      <c r="I113" s="50"/>
    </row>
    <row r="114" ht="15.75" customHeight="1" spans="1:9" s="1" customFormat="1" x14ac:dyDescent="0.25">
      <c r="A114" s="66"/>
      <c r="B114" s="57"/>
      <c r="C114" s="57"/>
      <c r="D114" s="57"/>
      <c r="E114" s="58"/>
      <c r="F114" s="58"/>
      <c r="G114" s="66"/>
      <c r="H114" s="57"/>
      <c r="I114" s="57"/>
    </row>
    <row r="115" ht="15.75" customHeight="1" spans="1:9" s="1" customFormat="1" x14ac:dyDescent="0.25">
      <c r="A115" s="67"/>
      <c r="B115" s="50"/>
      <c r="C115" s="50"/>
      <c r="D115" s="50"/>
      <c r="E115" s="51"/>
      <c r="F115" s="51"/>
      <c r="G115" s="67"/>
      <c r="H115" s="50"/>
      <c r="I115" s="50"/>
    </row>
    <row r="116" ht="15.75" customHeight="1" spans="1:9" s="1" customFormat="1" x14ac:dyDescent="0.25">
      <c r="A116" s="66"/>
      <c r="B116" s="57"/>
      <c r="C116" s="57"/>
      <c r="D116" s="57"/>
      <c r="E116" s="58"/>
      <c r="F116" s="58"/>
      <c r="G116" s="66"/>
      <c r="H116" s="57"/>
      <c r="I116" s="57"/>
    </row>
    <row r="117" ht="15.75" customHeight="1" spans="1:9" s="1" customFormat="1" x14ac:dyDescent="0.25">
      <c r="A117" s="67"/>
      <c r="B117" s="50"/>
      <c r="C117" s="50"/>
      <c r="D117" s="50"/>
      <c r="E117" s="51"/>
      <c r="F117" s="51"/>
      <c r="G117" s="67"/>
      <c r="H117" s="50"/>
      <c r="I117" s="50"/>
    </row>
    <row r="118" ht="15.75" customHeight="1" spans="1:9" s="1" customFormat="1" x14ac:dyDescent="0.25">
      <c r="A118" s="66"/>
      <c r="B118" s="57"/>
      <c r="C118" s="57"/>
      <c r="D118" s="57"/>
      <c r="E118" s="58"/>
      <c r="F118" s="58"/>
      <c r="G118" s="66"/>
      <c r="H118" s="57"/>
      <c r="I118" s="57"/>
    </row>
    <row r="119" ht="15.75" customHeight="1" spans="1:9" s="1" customFormat="1" x14ac:dyDescent="0.25">
      <c r="A119" s="67"/>
      <c r="B119" s="50"/>
      <c r="C119" s="50"/>
      <c r="D119" s="50"/>
      <c r="E119" s="51"/>
      <c r="F119" s="51"/>
      <c r="G119" s="67"/>
      <c r="H119" s="50"/>
      <c r="I119" s="50"/>
    </row>
    <row r="120" ht="15.75" customHeight="1" spans="1:9" s="1" customFormat="1" x14ac:dyDescent="0.25">
      <c r="A120" s="66"/>
      <c r="B120" s="57"/>
      <c r="C120" s="57"/>
      <c r="D120" s="57"/>
      <c r="E120" s="58"/>
      <c r="F120" s="58"/>
      <c r="G120" s="66"/>
      <c r="H120" s="57"/>
      <c r="I120" s="57"/>
    </row>
    <row r="121" ht="15.75" customHeight="1" spans="1:9" s="1" customFormat="1" x14ac:dyDescent="0.25">
      <c r="A121" s="67"/>
      <c r="B121" s="50"/>
      <c r="C121" s="50"/>
      <c r="D121" s="50"/>
      <c r="E121" s="51"/>
      <c r="F121" s="51"/>
      <c r="G121" s="67"/>
      <c r="H121" s="50"/>
      <c r="I121" s="50"/>
    </row>
    <row r="122" ht="15.75" customHeight="1" spans="1:9" s="1" customFormat="1" x14ac:dyDescent="0.25">
      <c r="A122" s="66"/>
      <c r="B122" s="57"/>
      <c r="C122" s="57"/>
      <c r="D122" s="57"/>
      <c r="E122" s="58"/>
      <c r="F122" s="58"/>
      <c r="G122" s="66"/>
      <c r="H122" s="57"/>
      <c r="I122" s="57"/>
    </row>
    <row r="123" ht="15.75" customHeight="1" spans="1:9" s="1" customFormat="1" x14ac:dyDescent="0.25">
      <c r="A123" s="67"/>
      <c r="B123" s="50"/>
      <c r="C123" s="50"/>
      <c r="D123" s="50"/>
      <c r="E123" s="51"/>
      <c r="F123" s="51"/>
      <c r="G123" s="67"/>
      <c r="H123" s="50"/>
      <c r="I123" s="50"/>
    </row>
    <row r="124" ht="15.75" customHeight="1" spans="1:9" s="1" customFormat="1" x14ac:dyDescent="0.25">
      <c r="A124" s="66"/>
      <c r="B124" s="57"/>
      <c r="C124" s="57"/>
      <c r="D124" s="57"/>
      <c r="E124" s="58"/>
      <c r="F124" s="58"/>
      <c r="G124" s="66"/>
      <c r="H124" s="57"/>
      <c r="I124" s="57"/>
    </row>
    <row r="125" ht="15.75" customHeight="1" spans="1:9" s="1" customFormat="1" x14ac:dyDescent="0.25">
      <c r="A125" s="67"/>
      <c r="B125" s="50"/>
      <c r="C125" s="50"/>
      <c r="D125" s="50"/>
      <c r="E125" s="51"/>
      <c r="F125" s="51"/>
      <c r="G125" s="67"/>
      <c r="H125" s="50"/>
      <c r="I125" s="50"/>
    </row>
    <row r="126" ht="15.75" customHeight="1" spans="1:9" s="1" customFormat="1" x14ac:dyDescent="0.25">
      <c r="A126" s="66"/>
      <c r="B126" s="57"/>
      <c r="C126" s="57"/>
      <c r="D126" s="57"/>
      <c r="E126" s="58"/>
      <c r="F126" s="58"/>
      <c r="G126" s="66"/>
      <c r="H126" s="57"/>
      <c r="I126" s="57"/>
    </row>
    <row r="127" ht="15.75" customHeight="1" spans="1:9" s="1" customFormat="1" x14ac:dyDescent="0.25">
      <c r="A127" s="67"/>
      <c r="B127" s="50"/>
      <c r="C127" s="50"/>
      <c r="D127" s="50"/>
      <c r="E127" s="51"/>
      <c r="F127" s="51"/>
      <c r="G127" s="67"/>
      <c r="H127" s="50"/>
      <c r="I127" s="50"/>
    </row>
    <row r="128" ht="15.75" customHeight="1" spans="1:9" s="1" customFormat="1" x14ac:dyDescent="0.25">
      <c r="A128" s="66"/>
      <c r="B128" s="57"/>
      <c r="C128" s="57"/>
      <c r="D128" s="57"/>
      <c r="E128" s="58"/>
      <c r="F128" s="58"/>
      <c r="G128" s="66"/>
      <c r="H128" s="57"/>
      <c r="I128" s="57"/>
    </row>
    <row r="129" ht="15.75" customHeight="1" spans="1:9" s="1" customFormat="1" x14ac:dyDescent="0.25">
      <c r="A129" s="67"/>
      <c r="B129" s="50"/>
      <c r="C129" s="50"/>
      <c r="D129" s="50"/>
      <c r="E129" s="51"/>
      <c r="F129" s="51"/>
      <c r="G129" s="67"/>
      <c r="H129" s="50"/>
      <c r="I129" s="50"/>
    </row>
    <row r="130" ht="15.75" customHeight="1" spans="1:9" s="1" customFormat="1" x14ac:dyDescent="0.25">
      <c r="A130" s="66"/>
      <c r="B130" s="57"/>
      <c r="C130" s="57"/>
      <c r="D130" s="57"/>
      <c r="E130" s="58"/>
      <c r="F130" s="58"/>
      <c r="G130" s="66"/>
      <c r="H130" s="57"/>
      <c r="I130" s="57"/>
    </row>
    <row r="131" ht="15.75" customHeight="1" spans="1:9" s="1" customFormat="1" x14ac:dyDescent="0.25">
      <c r="A131" s="67"/>
      <c r="B131" s="50"/>
      <c r="C131" s="50"/>
      <c r="D131" s="50"/>
      <c r="E131" s="51"/>
      <c r="F131" s="51"/>
      <c r="G131" s="67"/>
      <c r="H131" s="50"/>
      <c r="I131" s="50"/>
    </row>
    <row r="132" ht="15.75" customHeight="1" spans="1:9" s="1" customFormat="1" x14ac:dyDescent="0.25">
      <c r="A132" s="66"/>
      <c r="B132" s="57"/>
      <c r="C132" s="57"/>
      <c r="D132" s="57"/>
      <c r="E132" s="58"/>
      <c r="F132" s="58"/>
      <c r="G132" s="66"/>
      <c r="H132" s="57"/>
      <c r="I132" s="57"/>
    </row>
    <row r="133" ht="15.75" customHeight="1" spans="1:9" s="1" customFormat="1" x14ac:dyDescent="0.25">
      <c r="A133" s="67"/>
      <c r="B133" s="50"/>
      <c r="C133" s="50"/>
      <c r="D133" s="50"/>
      <c r="E133" s="51"/>
      <c r="F133" s="51"/>
      <c r="G133" s="67"/>
      <c r="H133" s="50"/>
      <c r="I133" s="50"/>
    </row>
    <row r="134" ht="15.75" customHeight="1" spans="1:9" s="1" customFormat="1" x14ac:dyDescent="0.25">
      <c r="A134" s="66"/>
      <c r="B134" s="57"/>
      <c r="C134" s="57"/>
      <c r="D134" s="57"/>
      <c r="E134" s="58"/>
      <c r="F134" s="58"/>
      <c r="G134" s="66"/>
      <c r="H134" s="57"/>
      <c r="I134" s="57"/>
    </row>
    <row r="135" ht="15.75" customHeight="1" spans="1:9" s="1" customFormat="1" x14ac:dyDescent="0.25">
      <c r="A135" s="67"/>
      <c r="B135" s="50"/>
      <c r="C135" s="50"/>
      <c r="D135" s="50"/>
      <c r="E135" s="51"/>
      <c r="F135" s="51"/>
      <c r="G135" s="67"/>
      <c r="H135" s="50"/>
      <c r="I135" s="50"/>
    </row>
    <row r="136" ht="15.75" customHeight="1" spans="1:9" s="1" customFormat="1" x14ac:dyDescent="0.25">
      <c r="A136" s="66"/>
      <c r="B136" s="57"/>
      <c r="C136" s="57"/>
      <c r="D136" s="57"/>
      <c r="E136" s="58"/>
      <c r="F136" s="58"/>
      <c r="G136" s="66"/>
      <c r="H136" s="57"/>
      <c r="I136" s="57"/>
    </row>
    <row r="137" ht="15.75" customHeight="1" spans="1:9" s="1" customFormat="1" x14ac:dyDescent="0.25">
      <c r="A137" s="67"/>
      <c r="B137" s="50"/>
      <c r="C137" s="50"/>
      <c r="D137" s="50"/>
      <c r="E137" s="51"/>
      <c r="F137" s="51"/>
      <c r="G137" s="67"/>
      <c r="H137" s="50"/>
      <c r="I137" s="50"/>
    </row>
    <row r="138" ht="15.75" customHeight="1" spans="1:9" s="1" customFormat="1" x14ac:dyDescent="0.25">
      <c r="A138" s="66"/>
      <c r="B138" s="57"/>
      <c r="C138" s="57"/>
      <c r="D138" s="57"/>
      <c r="E138" s="58"/>
      <c r="F138" s="58"/>
      <c r="G138" s="66"/>
      <c r="H138" s="57"/>
      <c r="I138" s="57"/>
    </row>
    <row r="139" ht="15.75" customHeight="1" spans="1:9" s="1" customFormat="1" x14ac:dyDescent="0.25">
      <c r="A139" s="67"/>
      <c r="B139" s="50"/>
      <c r="C139" s="50"/>
      <c r="D139" s="50"/>
      <c r="E139" s="51"/>
      <c r="F139" s="51"/>
      <c r="G139" s="67"/>
      <c r="H139" s="50"/>
      <c r="I139" s="50"/>
    </row>
    <row r="140" ht="15.75" customHeight="1" spans="1:9" s="1" customFormat="1" x14ac:dyDescent="0.25">
      <c r="A140" s="66"/>
      <c r="B140" s="57"/>
      <c r="C140" s="57"/>
      <c r="D140" s="57"/>
      <c r="E140" s="58"/>
      <c r="F140" s="58"/>
      <c r="G140" s="66"/>
      <c r="H140" s="57"/>
      <c r="I140" s="57"/>
    </row>
    <row r="141" ht="15.75" customHeight="1" spans="1:9" s="1" customFormat="1" x14ac:dyDescent="0.25">
      <c r="A141" s="67"/>
      <c r="B141" s="50"/>
      <c r="C141" s="50"/>
      <c r="D141" s="50"/>
      <c r="E141" s="51"/>
      <c r="F141" s="51"/>
      <c r="G141" s="67"/>
      <c r="H141" s="50"/>
      <c r="I141" s="50"/>
    </row>
    <row r="142" ht="15.75" customHeight="1" spans="1:9" s="1" customFormat="1" x14ac:dyDescent="0.25">
      <c r="A142" s="66"/>
      <c r="B142" s="57"/>
      <c r="C142" s="57"/>
      <c r="D142" s="57"/>
      <c r="E142" s="58"/>
      <c r="F142" s="58"/>
      <c r="G142" s="66"/>
      <c r="H142" s="57"/>
      <c r="I142" s="57"/>
    </row>
    <row r="143" ht="15.75" customHeight="1" spans="1:9" s="1" customFormat="1" x14ac:dyDescent="0.25">
      <c r="A143" s="67"/>
      <c r="B143" s="50"/>
      <c r="C143" s="50"/>
      <c r="D143" s="50"/>
      <c r="E143" s="51"/>
      <c r="F143" s="51"/>
      <c r="G143" s="67"/>
      <c r="H143" s="50"/>
      <c r="I143" s="50"/>
    </row>
    <row r="144" ht="15.75" customHeight="1" spans="1:9" s="1" customFormat="1" x14ac:dyDescent="0.25">
      <c r="A144" s="66"/>
      <c r="B144" s="57"/>
      <c r="C144" s="57"/>
      <c r="D144" s="57"/>
      <c r="E144" s="58"/>
      <c r="F144" s="58"/>
      <c r="G144" s="66"/>
      <c r="H144" s="57"/>
      <c r="I144" s="57"/>
    </row>
    <row r="145" ht="15.75" customHeight="1" spans="1:9" s="1" customFormat="1" x14ac:dyDescent="0.25">
      <c r="A145" s="67"/>
      <c r="B145" s="50"/>
      <c r="C145" s="50"/>
      <c r="D145" s="50"/>
      <c r="E145" s="51"/>
      <c r="F145" s="51"/>
      <c r="G145" s="67"/>
      <c r="H145" s="50"/>
      <c r="I145" s="50"/>
    </row>
    <row r="146" ht="15.75" customHeight="1" spans="1:9" s="1" customFormat="1" x14ac:dyDescent="0.25">
      <c r="A146" s="66"/>
      <c r="B146" s="57"/>
      <c r="C146" s="57"/>
      <c r="D146" s="57"/>
      <c r="E146" s="58"/>
      <c r="F146" s="58"/>
      <c r="G146" s="66"/>
      <c r="H146" s="57"/>
      <c r="I146" s="57"/>
    </row>
    <row r="147" ht="15.75" customHeight="1" spans="1:9" s="1" customFormat="1" x14ac:dyDescent="0.25">
      <c r="A147" s="67"/>
      <c r="B147" s="50"/>
      <c r="C147" s="50"/>
      <c r="D147" s="50"/>
      <c r="E147" s="51"/>
      <c r="F147" s="51"/>
      <c r="G147" s="67"/>
      <c r="H147" s="50"/>
      <c r="I147" s="50"/>
    </row>
    <row r="148" ht="15.75" customHeight="1" spans="1:9" s="1" customFormat="1" x14ac:dyDescent="0.25">
      <c r="A148" s="66"/>
      <c r="B148" s="57"/>
      <c r="C148" s="57"/>
      <c r="D148" s="57"/>
      <c r="E148" s="58"/>
      <c r="F148" s="58"/>
      <c r="G148" s="66"/>
      <c r="H148" s="57"/>
      <c r="I148" s="57"/>
    </row>
    <row r="149" ht="15.75" customHeight="1" spans="1:9" s="1" customFormat="1" x14ac:dyDescent="0.25">
      <c r="A149" s="67"/>
      <c r="B149" s="50"/>
      <c r="C149" s="50"/>
      <c r="D149" s="50"/>
      <c r="E149" s="51"/>
      <c r="F149" s="51"/>
      <c r="G149" s="67"/>
      <c r="H149" s="50"/>
      <c r="I149" s="50"/>
    </row>
    <row r="150" ht="15.75" customHeight="1" spans="1:9" s="1" customFormat="1" x14ac:dyDescent="0.25">
      <c r="A150" s="66"/>
      <c r="B150" s="57"/>
      <c r="C150" s="57"/>
      <c r="D150" s="57"/>
      <c r="E150" s="58"/>
      <c r="F150" s="58"/>
      <c r="G150" s="66"/>
      <c r="H150" s="57"/>
      <c r="I150" s="57"/>
    </row>
    <row r="151" ht="15.75" customHeight="1" spans="1:9" s="1" customFormat="1" x14ac:dyDescent="0.25">
      <c r="A151" s="67"/>
      <c r="B151" s="50"/>
      <c r="C151" s="50"/>
      <c r="D151" s="50"/>
      <c r="E151" s="51"/>
      <c r="F151" s="51"/>
      <c r="G151" s="67"/>
      <c r="H151" s="50"/>
      <c r="I151" s="50"/>
    </row>
    <row r="152" ht="15.75" customHeight="1" spans="1:9" s="1" customFormat="1" x14ac:dyDescent="0.25">
      <c r="A152" s="66"/>
      <c r="B152" s="57"/>
      <c r="C152" s="57"/>
      <c r="D152" s="57"/>
      <c r="E152" s="58"/>
      <c r="F152" s="58"/>
      <c r="G152" s="66"/>
      <c r="H152" s="57"/>
      <c r="I152" s="57"/>
    </row>
    <row r="153" ht="15.75" customHeight="1" spans="1:9" s="1" customFormat="1" x14ac:dyDescent="0.25">
      <c r="A153" s="67"/>
      <c r="B153" s="50"/>
      <c r="C153" s="50"/>
      <c r="D153" s="50"/>
      <c r="E153" s="51"/>
      <c r="F153" s="51"/>
      <c r="G153" s="67"/>
      <c r="H153" s="50"/>
      <c r="I153" s="50"/>
    </row>
    <row r="154" ht="15.75" customHeight="1" spans="1:9" s="1" customFormat="1" x14ac:dyDescent="0.25">
      <c r="A154" s="66"/>
      <c r="B154" s="57"/>
      <c r="C154" s="57"/>
      <c r="D154" s="57"/>
      <c r="E154" s="58"/>
      <c r="F154" s="58"/>
      <c r="G154" s="66"/>
      <c r="H154" s="57"/>
      <c r="I154" s="57"/>
    </row>
    <row r="155" ht="15.75" customHeight="1" spans="1:9" s="1" customFormat="1" x14ac:dyDescent="0.25">
      <c r="A155" s="67"/>
      <c r="B155" s="50"/>
      <c r="C155" s="50"/>
      <c r="D155" s="50"/>
      <c r="E155" s="51"/>
      <c r="F155" s="51"/>
      <c r="G155" s="67"/>
      <c r="H155" s="50"/>
      <c r="I155" s="50"/>
    </row>
    <row r="156" ht="15.75" customHeight="1" spans="1:9" s="1" customFormat="1" x14ac:dyDescent="0.25">
      <c r="A156" s="66"/>
      <c r="B156" s="57"/>
      <c r="C156" s="57"/>
      <c r="D156" s="57"/>
      <c r="E156" s="58"/>
      <c r="F156" s="58"/>
      <c r="G156" s="66"/>
      <c r="H156" s="57"/>
      <c r="I156" s="57"/>
    </row>
    <row r="157" ht="15.75" customHeight="1" spans="1:9" s="1" customFormat="1" x14ac:dyDescent="0.25">
      <c r="A157" s="67"/>
      <c r="B157" s="50"/>
      <c r="C157" s="50"/>
      <c r="D157" s="50"/>
      <c r="E157" s="51"/>
      <c r="F157" s="51"/>
      <c r="G157" s="67"/>
      <c r="H157" s="50"/>
      <c r="I157" s="50"/>
    </row>
    <row r="158" ht="15.75" customHeight="1" spans="1:9" s="1" customFormat="1" x14ac:dyDescent="0.25">
      <c r="A158" s="66"/>
      <c r="B158" s="57"/>
      <c r="C158" s="57"/>
      <c r="D158" s="57"/>
      <c r="E158" s="58"/>
      <c r="F158" s="58"/>
      <c r="G158" s="66"/>
      <c r="H158" s="57"/>
      <c r="I158" s="57"/>
    </row>
    <row r="159" ht="15.75" customHeight="1" spans="1:9" s="1" customFormat="1" x14ac:dyDescent="0.25">
      <c r="A159" s="67"/>
      <c r="B159" s="50"/>
      <c r="C159" s="50"/>
      <c r="D159" s="50"/>
      <c r="E159" s="51"/>
      <c r="F159" s="51"/>
      <c r="G159" s="67"/>
      <c r="H159" s="50"/>
      <c r="I159" s="50"/>
    </row>
    <row r="160" ht="15.75" customHeight="1" spans="1:9" s="1" customFormat="1" x14ac:dyDescent="0.25">
      <c r="A160" s="66"/>
      <c r="B160" s="57"/>
      <c r="C160" s="57"/>
      <c r="D160" s="57"/>
      <c r="E160" s="58"/>
      <c r="F160" s="58"/>
      <c r="G160" s="66"/>
      <c r="H160" s="57"/>
      <c r="I160" s="57"/>
    </row>
    <row r="161" ht="15.75" customHeight="1" spans="1:9" s="1" customFormat="1" x14ac:dyDescent="0.25">
      <c r="A161" s="67"/>
      <c r="B161" s="50"/>
      <c r="C161" s="50"/>
      <c r="D161" s="50"/>
      <c r="E161" s="51"/>
      <c r="F161" s="51"/>
      <c r="G161" s="67"/>
      <c r="H161" s="50"/>
      <c r="I161" s="50"/>
    </row>
    <row r="162" ht="15.75" customHeight="1" spans="1:9" s="1" customFormat="1" x14ac:dyDescent="0.25">
      <c r="A162" s="66"/>
      <c r="B162" s="57"/>
      <c r="C162" s="57"/>
      <c r="D162" s="57"/>
      <c r="E162" s="58"/>
      <c r="F162" s="58"/>
      <c r="G162" s="66"/>
      <c r="H162" s="57"/>
      <c r="I162" s="57"/>
    </row>
    <row r="163" ht="15.75" customHeight="1" spans="1:9" s="1" customFormat="1" x14ac:dyDescent="0.25">
      <c r="A163" s="67"/>
      <c r="B163" s="50"/>
      <c r="C163" s="50"/>
      <c r="D163" s="50"/>
      <c r="E163" s="51"/>
      <c r="F163" s="51"/>
      <c r="G163" s="67"/>
      <c r="H163" s="50"/>
      <c r="I163" s="50"/>
    </row>
    <row r="164" ht="15.75" customHeight="1" spans="1:9" s="1" customFormat="1" x14ac:dyDescent="0.25">
      <c r="A164" s="66"/>
      <c r="B164" s="57"/>
      <c r="C164" s="57"/>
      <c r="D164" s="57"/>
      <c r="E164" s="58"/>
      <c r="F164" s="58"/>
      <c r="G164" s="66"/>
      <c r="H164" s="57"/>
      <c r="I164" s="57"/>
    </row>
    <row r="165" ht="15.75" customHeight="1" spans="1:9" s="1" customFormat="1" x14ac:dyDescent="0.25">
      <c r="A165" s="67"/>
      <c r="B165" s="50"/>
      <c r="C165" s="50"/>
      <c r="D165" s="50"/>
      <c r="E165" s="51"/>
      <c r="F165" s="51"/>
      <c r="G165" s="67"/>
      <c r="H165" s="50"/>
      <c r="I165" s="50"/>
    </row>
    <row r="166" ht="15.75" customHeight="1" spans="1:9" s="1" customFormat="1" x14ac:dyDescent="0.25">
      <c r="A166" s="66"/>
      <c r="B166" s="57"/>
      <c r="C166" s="57"/>
      <c r="D166" s="57"/>
      <c r="E166" s="58"/>
      <c r="F166" s="58"/>
      <c r="G166" s="66"/>
      <c r="H166" s="57"/>
      <c r="I166" s="57"/>
    </row>
    <row r="167" ht="15.75" customHeight="1" spans="1:9" s="1" customFormat="1" x14ac:dyDescent="0.25">
      <c r="A167" s="67"/>
      <c r="B167" s="50"/>
      <c r="C167" s="50"/>
      <c r="D167" s="50"/>
      <c r="E167" s="51"/>
      <c r="F167" s="51"/>
      <c r="G167" s="67"/>
      <c r="H167" s="50"/>
      <c r="I167" s="50"/>
    </row>
    <row r="168" ht="15.75" customHeight="1" spans="1:9" s="1" customFormat="1" x14ac:dyDescent="0.25">
      <c r="A168" s="66"/>
      <c r="B168" s="57"/>
      <c r="C168" s="57"/>
      <c r="D168" s="57"/>
      <c r="E168" s="58"/>
      <c r="F168" s="58"/>
      <c r="G168" s="66"/>
      <c r="H168" s="57"/>
      <c r="I168" s="57"/>
    </row>
    <row r="169" ht="15.75" customHeight="1" spans="1:9" s="1" customFormat="1" x14ac:dyDescent="0.25">
      <c r="A169" s="67"/>
      <c r="B169" s="50"/>
      <c r="C169" s="50"/>
      <c r="D169" s="50"/>
      <c r="E169" s="51"/>
      <c r="F169" s="51"/>
      <c r="G169" s="67"/>
      <c r="H169" s="50"/>
      <c r="I169" s="50"/>
    </row>
    <row r="170" ht="15.75" customHeight="1" spans="1:9" s="1" customFormat="1" x14ac:dyDescent="0.25">
      <c r="A170" s="66"/>
      <c r="B170" s="57"/>
      <c r="C170" s="57"/>
      <c r="D170" s="57"/>
      <c r="E170" s="58"/>
      <c r="F170" s="58"/>
      <c r="G170" s="66"/>
      <c r="H170" s="57"/>
      <c r="I170" s="57"/>
    </row>
    <row r="171" ht="15.75" customHeight="1" spans="1:9" s="1" customFormat="1" x14ac:dyDescent="0.25">
      <c r="A171" s="67"/>
      <c r="B171" s="50"/>
      <c r="C171" s="50"/>
      <c r="D171" s="50"/>
      <c r="E171" s="51"/>
      <c r="F171" s="51"/>
      <c r="G171" s="67"/>
      <c r="H171" s="50"/>
      <c r="I171" s="50"/>
    </row>
    <row r="172" ht="15.75" customHeight="1" spans="1:9" s="1" customFormat="1" x14ac:dyDescent="0.25">
      <c r="A172" s="66"/>
      <c r="B172" s="57"/>
      <c r="C172" s="57"/>
      <c r="D172" s="57"/>
      <c r="E172" s="58"/>
      <c r="F172" s="58"/>
      <c r="G172" s="66"/>
      <c r="H172" s="57"/>
      <c r="I172" s="57"/>
    </row>
    <row r="173" ht="15.75" customHeight="1" spans="1:9" s="1" customFormat="1" x14ac:dyDescent="0.25">
      <c r="A173" s="67"/>
      <c r="B173" s="50"/>
      <c r="C173" s="50"/>
      <c r="D173" s="50"/>
      <c r="E173" s="51"/>
      <c r="F173" s="51"/>
      <c r="G173" s="67"/>
      <c r="H173" s="50"/>
      <c r="I173" s="50"/>
    </row>
    <row r="174" ht="15.75" customHeight="1" spans="1:9" s="1" customFormat="1" x14ac:dyDescent="0.25">
      <c r="A174" s="66"/>
      <c r="B174" s="57"/>
      <c r="C174" s="57"/>
      <c r="D174" s="57"/>
      <c r="E174" s="58"/>
      <c r="F174" s="58"/>
      <c r="G174" s="66"/>
      <c r="H174" s="57"/>
      <c r="I174" s="57"/>
    </row>
    <row r="175" ht="15.75" customHeight="1" spans="1:9" s="1" customFormat="1" x14ac:dyDescent="0.25">
      <c r="A175" s="67"/>
      <c r="B175" s="50"/>
      <c r="C175" s="50"/>
      <c r="D175" s="50"/>
      <c r="E175" s="51"/>
      <c r="F175" s="51"/>
      <c r="G175" s="67"/>
      <c r="H175" s="50"/>
      <c r="I175" s="50"/>
    </row>
    <row r="176" ht="15.75" customHeight="1" spans="1:9" s="1" customFormat="1" x14ac:dyDescent="0.25">
      <c r="A176" s="66"/>
      <c r="B176" s="57"/>
      <c r="C176" s="57"/>
      <c r="D176" s="57"/>
      <c r="E176" s="58"/>
      <c r="F176" s="58"/>
      <c r="G176" s="66"/>
      <c r="H176" s="57"/>
      <c r="I176" s="57"/>
    </row>
    <row r="177" ht="15.75" customHeight="1" spans="1:9" s="1" customFormat="1" x14ac:dyDescent="0.25">
      <c r="A177" s="67"/>
      <c r="B177" s="50"/>
      <c r="C177" s="50"/>
      <c r="D177" s="50"/>
      <c r="E177" s="51"/>
      <c r="F177" s="51"/>
      <c r="G177" s="67"/>
      <c r="H177" s="50"/>
      <c r="I177" s="50"/>
    </row>
    <row r="178" ht="15.75" customHeight="1" spans="1:9" s="1" customFormat="1" x14ac:dyDescent="0.25">
      <c r="A178" s="66"/>
      <c r="B178" s="57"/>
      <c r="C178" s="57"/>
      <c r="D178" s="57"/>
      <c r="E178" s="58"/>
      <c r="F178" s="58"/>
      <c r="G178" s="66"/>
      <c r="H178" s="57"/>
      <c r="I178" s="57"/>
    </row>
    <row r="179" ht="15.75" customHeight="1" spans="1:9" s="1" customFormat="1" x14ac:dyDescent="0.25">
      <c r="A179" s="67"/>
      <c r="B179" s="50"/>
      <c r="C179" s="50"/>
      <c r="D179" s="50"/>
      <c r="E179" s="51"/>
      <c r="F179" s="51"/>
      <c r="G179" s="67"/>
      <c r="H179" s="50"/>
      <c r="I179" s="50"/>
    </row>
    <row r="180" ht="15.75" customHeight="1" spans="1:9" s="1" customFormat="1" x14ac:dyDescent="0.25">
      <c r="A180" s="66"/>
      <c r="B180" s="57"/>
      <c r="C180" s="57"/>
      <c r="D180" s="57"/>
      <c r="E180" s="58"/>
      <c r="F180" s="58"/>
      <c r="G180" s="66"/>
      <c r="H180" s="57"/>
      <c r="I180" s="57"/>
    </row>
    <row r="181" ht="15.75" customHeight="1" spans="1:9" s="1" customFormat="1" x14ac:dyDescent="0.25">
      <c r="A181" s="67"/>
      <c r="B181" s="50"/>
      <c r="C181" s="50"/>
      <c r="D181" s="50"/>
      <c r="E181" s="51"/>
      <c r="F181" s="51"/>
      <c r="G181" s="67"/>
      <c r="H181" s="50"/>
      <c r="I181" s="50"/>
    </row>
    <row r="182" ht="15.75" customHeight="1" spans="1:9" s="1" customFormat="1" x14ac:dyDescent="0.25">
      <c r="A182" s="66"/>
      <c r="B182" s="57"/>
      <c r="C182" s="57"/>
      <c r="D182" s="57"/>
      <c r="E182" s="58"/>
      <c r="F182" s="58"/>
      <c r="G182" s="66"/>
      <c r="H182" s="57"/>
      <c r="I182" s="57"/>
    </row>
    <row r="183" ht="15.75" customHeight="1" spans="1:9" s="1" customFormat="1" x14ac:dyDescent="0.25">
      <c r="A183" s="67"/>
      <c r="B183" s="50"/>
      <c r="C183" s="50"/>
      <c r="D183" s="50"/>
      <c r="E183" s="51"/>
      <c r="F183" s="51"/>
      <c r="G183" s="67"/>
      <c r="H183" s="50"/>
      <c r="I183" s="50"/>
    </row>
    <row r="184" ht="15.75" customHeight="1" spans="1:9" s="1" customFormat="1" x14ac:dyDescent="0.25">
      <c r="A184" s="66"/>
      <c r="B184" s="57"/>
      <c r="C184" s="57"/>
      <c r="D184" s="57"/>
      <c r="E184" s="58"/>
      <c r="F184" s="58"/>
      <c r="G184" s="66"/>
      <c r="H184" s="57"/>
      <c r="I184" s="57"/>
    </row>
    <row r="185" ht="15.75" customHeight="1" spans="1:9" s="1" customFormat="1" x14ac:dyDescent="0.25">
      <c r="A185" s="67"/>
      <c r="B185" s="50"/>
      <c r="C185" s="50"/>
      <c r="D185" s="50"/>
      <c r="E185" s="51"/>
      <c r="F185" s="51"/>
      <c r="G185" s="67"/>
      <c r="H185" s="50"/>
      <c r="I185" s="50"/>
    </row>
    <row r="186" ht="15.75" customHeight="1" spans="1:9" s="1" customFormat="1" x14ac:dyDescent="0.25">
      <c r="A186" s="66"/>
      <c r="B186" s="57"/>
      <c r="C186" s="57"/>
      <c r="D186" s="57"/>
      <c r="E186" s="58"/>
      <c r="F186" s="58"/>
      <c r="G186" s="66"/>
      <c r="H186" s="57"/>
      <c r="I186" s="57"/>
    </row>
    <row r="187" ht="15.75" customHeight="1" spans="1:9" s="1" customFormat="1" x14ac:dyDescent="0.25">
      <c r="A187" s="67"/>
      <c r="B187" s="50"/>
      <c r="C187" s="50"/>
      <c r="D187" s="50"/>
      <c r="E187" s="51"/>
      <c r="F187" s="51"/>
      <c r="G187" s="67"/>
      <c r="H187" s="50"/>
      <c r="I187" s="50"/>
    </row>
    <row r="188" ht="15.75" customHeight="1" spans="1:9" s="1" customFormat="1" x14ac:dyDescent="0.25">
      <c r="A188" s="66"/>
      <c r="B188" s="57"/>
      <c r="C188" s="57"/>
      <c r="D188" s="57"/>
      <c r="E188" s="58"/>
      <c r="F188" s="58"/>
      <c r="G188" s="66"/>
      <c r="H188" s="57"/>
      <c r="I188" s="57"/>
    </row>
    <row r="189" ht="15.75" customHeight="1" spans="1:9" s="1" customFormat="1" x14ac:dyDescent="0.25">
      <c r="A189" s="67"/>
      <c r="B189" s="50"/>
      <c r="C189" s="50"/>
      <c r="D189" s="50"/>
      <c r="E189" s="51"/>
      <c r="F189" s="51"/>
      <c r="G189" s="67"/>
      <c r="H189" s="50"/>
      <c r="I189" s="50"/>
    </row>
    <row r="190" ht="15.75" customHeight="1" spans="1:9" s="1" customFormat="1" x14ac:dyDescent="0.25">
      <c r="A190" s="66"/>
      <c r="B190" s="57"/>
      <c r="C190" s="57"/>
      <c r="D190" s="57"/>
      <c r="E190" s="58"/>
      <c r="F190" s="58"/>
      <c r="G190" s="66"/>
      <c r="H190" s="57"/>
      <c r="I190" s="57"/>
    </row>
    <row r="191" ht="15.75" customHeight="1" spans="1:9" s="1" customFormat="1" x14ac:dyDescent="0.25">
      <c r="A191" s="67"/>
      <c r="B191" s="50"/>
      <c r="C191" s="50"/>
      <c r="D191" s="50"/>
      <c r="E191" s="51"/>
      <c r="F191" s="51"/>
      <c r="G191" s="67"/>
      <c r="H191" s="50"/>
      <c r="I191" s="50"/>
    </row>
    <row r="192" ht="15.75" customHeight="1" spans="1:9" s="1" customFormat="1" x14ac:dyDescent="0.25">
      <c r="A192" s="66"/>
      <c r="B192" s="57"/>
      <c r="C192" s="57"/>
      <c r="D192" s="57"/>
      <c r="E192" s="58"/>
      <c r="F192" s="58"/>
      <c r="G192" s="66"/>
      <c r="H192" s="57"/>
      <c r="I192" s="57"/>
    </row>
    <row r="193" ht="15.75" customHeight="1" spans="1:9" s="1" customFormat="1" x14ac:dyDescent="0.25">
      <c r="A193" s="67"/>
      <c r="B193" s="50"/>
      <c r="C193" s="50"/>
      <c r="D193" s="50"/>
      <c r="E193" s="51"/>
      <c r="F193" s="51"/>
      <c r="G193" s="67"/>
      <c r="H193" s="50"/>
      <c r="I193" s="50"/>
    </row>
    <row r="194" ht="15.75" customHeight="1" spans="1:9" s="1" customFormat="1" x14ac:dyDescent="0.25">
      <c r="A194" s="66"/>
      <c r="B194" s="57"/>
      <c r="C194" s="57"/>
      <c r="D194" s="57"/>
      <c r="E194" s="58"/>
      <c r="F194" s="58"/>
      <c r="G194" s="66"/>
      <c r="H194" s="57"/>
      <c r="I194" s="57"/>
    </row>
    <row r="195" ht="15.75" customHeight="1" spans="1:9" s="1" customFormat="1" x14ac:dyDescent="0.25">
      <c r="A195" s="67"/>
      <c r="B195" s="50"/>
      <c r="C195" s="50"/>
      <c r="D195" s="50"/>
      <c r="E195" s="51"/>
      <c r="F195" s="51"/>
      <c r="G195" s="67"/>
      <c r="H195" s="50"/>
      <c r="I195" s="50"/>
    </row>
    <row r="196" ht="15.75" customHeight="1" spans="1:9" s="1" customFormat="1" x14ac:dyDescent="0.25">
      <c r="A196" s="66"/>
      <c r="B196" s="57"/>
      <c r="C196" s="57"/>
      <c r="D196" s="57"/>
      <c r="E196" s="58"/>
      <c r="F196" s="58"/>
      <c r="G196" s="66"/>
      <c r="H196" s="57"/>
      <c r="I196" s="57"/>
    </row>
    <row r="197" ht="15.75" customHeight="1" spans="1:9" s="1" customFormat="1" x14ac:dyDescent="0.25">
      <c r="A197" s="67"/>
      <c r="B197" s="50"/>
      <c r="C197" s="50"/>
      <c r="D197" s="50"/>
      <c r="E197" s="51"/>
      <c r="F197" s="51"/>
      <c r="G197" s="67"/>
      <c r="H197" s="50"/>
      <c r="I197" s="50"/>
    </row>
    <row r="198" ht="15.75" customHeight="1" spans="1:9" s="1" customFormat="1" x14ac:dyDescent="0.25">
      <c r="A198" s="66"/>
      <c r="B198" s="57"/>
      <c r="C198" s="57"/>
      <c r="D198" s="57"/>
      <c r="E198" s="58"/>
      <c r="F198" s="58"/>
      <c r="G198" s="66"/>
      <c r="H198" s="57"/>
      <c r="I198" s="57"/>
    </row>
    <row r="199" ht="15.75" customHeight="1" spans="1:9" s="1" customFormat="1" x14ac:dyDescent="0.25">
      <c r="A199" s="67"/>
      <c r="B199" s="50"/>
      <c r="C199" s="50"/>
      <c r="D199" s="50"/>
      <c r="E199" s="51"/>
      <c r="F199" s="51"/>
      <c r="G199" s="67"/>
      <c r="H199" s="50"/>
      <c r="I199" s="50"/>
    </row>
    <row r="200" ht="15.75" customHeight="1" spans="1:9" s="1" customFormat="1" x14ac:dyDescent="0.25">
      <c r="A200" s="66"/>
      <c r="B200" s="57"/>
      <c r="C200" s="57"/>
      <c r="D200" s="57"/>
      <c r="E200" s="58"/>
      <c r="F200" s="58"/>
      <c r="G200" s="66"/>
      <c r="H200" s="57"/>
      <c r="I200" s="57"/>
    </row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I1"/>
    <mergeCell ref="A2:I2"/>
    <mergeCell ref="A3:I3"/>
  </mergeCells>
  <conditionalFormatting sqref="H5:H200">
    <cfRule type="cellIs" dxfId="10" priority="1" operator="equal">
      <formula>"Recebido"</formula>
    </cfRule>
    <cfRule type="cellIs" dxfId="11" priority="2" operator="equal">
      <formula>"Pendente"</formula>
    </cfRule>
    <cfRule type="cellIs" dxfId="12" priority="3" operator="equal">
      <formula>"Vencido"</formula>
    </cfRule>
  </conditionalFormatting>
  <conditionalFormatting sqref="A5:I200">
    <cfRule type="expression" dxfId="13" priority="4">
      <formula>AND($A5&lt;TODAY(),$H5&lt;&gt;"Recebido",$A5&lt;&gt;"")</formula>
    </cfRule>
  </conditionalFormatting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1000"/>
  <sheetViews>
    <sheetView workbookViewId="0" zoomScale="100" zoomScaleNormal="10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0" defaultColWidth="14.43"/>
  <cols>
    <col min="1" max="1" width="8" style="1" customWidth="1"/>
    <col min="2" max="2" width="36" style="1" customWidth="1"/>
    <col min="3" max="14" width="13" style="1" customWidth="1"/>
    <col min="15" max="15" width="15" style="1" customWidth="1"/>
    <col min="16" max="26" width="8.71" style="1" customWidth="1"/>
  </cols>
  <sheetData>
    <row r="1" ht="27.75" customHeight="1" spans="1:15" s="1" customForma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s="1" customFormat="1" x14ac:dyDescent="0.25">
      <c r="A2" s="8" t="s">
        <v>169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8" customHeight="1" spans="1:15" s="1" customFormat="1" x14ac:dyDescent="0.25">
      <c r="A3" s="9" t="s">
        <v>170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31.5" customHeight="1" spans="1:15" s="1" customFormat="1" x14ac:dyDescent="0.25">
      <c r="A4" s="22" t="s">
        <v>171</v>
      </c>
      <c r="B4" s="22" t="s">
        <v>55</v>
      </c>
      <c r="C4" s="22" t="s">
        <v>172</v>
      </c>
      <c r="D4" s="22" t="s">
        <v>173</v>
      </c>
      <c r="E4" s="22" t="s">
        <v>174</v>
      </c>
      <c r="F4" s="22" t="s">
        <v>175</v>
      </c>
      <c r="G4" s="22" t="s">
        <v>176</v>
      </c>
      <c r="H4" s="22" t="s">
        <v>177</v>
      </c>
      <c r="I4" s="22" t="s">
        <v>178</v>
      </c>
      <c r="J4" s="22" t="s">
        <v>179</v>
      </c>
      <c r="K4" s="22" t="s">
        <v>180</v>
      </c>
      <c r="L4" s="22" t="s">
        <v>181</v>
      </c>
      <c r="M4" s="22" t="s">
        <v>182</v>
      </c>
      <c r="N4" s="22" t="s">
        <v>183</v>
      </c>
      <c r="O4" s="22" t="s">
        <v>184</v>
      </c>
    </row>
    <row r="5" ht="24" customHeight="1" spans="1:15" s="1" customFormat="1" x14ac:dyDescent="0.25">
      <c r="A5" s="91" t="s">
        <v>185</v>
      </c>
      <c r="B5" s="91" t="s">
        <v>186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</row>
    <row r="6" ht="19.5" customHeight="1" spans="1:15" s="1" customFormat="1" x14ac:dyDescent="0.25">
      <c r="A6" s="33" t="s">
        <v>187</v>
      </c>
      <c r="B6" s="33" t="s">
        <v>188</v>
      </c>
      <c r="C6" s="93">
        <v>0</v>
      </c>
      <c r="D6" s="93">
        <v>0</v>
      </c>
      <c r="E6" s="93">
        <v>0</v>
      </c>
      <c r="F6" s="93">
        <v>0</v>
      </c>
      <c r="G6" s="93">
        <v>499.7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  <c r="M6" s="93">
        <v>0</v>
      </c>
      <c r="N6" s="93">
        <v>0</v>
      </c>
      <c r="O6" s="49">
        <f>SUM(C6:N6)</f>
      </c>
    </row>
    <row r="7" ht="19.5" customHeight="1" spans="1:15" s="1" customFormat="1" x14ac:dyDescent="0.25">
      <c r="A7" s="33" t="s">
        <v>189</v>
      </c>
      <c r="B7" s="33" t="s">
        <v>190</v>
      </c>
      <c r="C7" s="93">
        <v>0</v>
      </c>
      <c r="D7" s="93">
        <v>0</v>
      </c>
      <c r="E7" s="93">
        <v>0</v>
      </c>
      <c r="F7" s="93">
        <v>0</v>
      </c>
      <c r="G7" s="93">
        <v>0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  <c r="M7" s="93">
        <v>0</v>
      </c>
      <c r="N7" s="93">
        <v>0</v>
      </c>
      <c r="O7" s="49">
        <f>SUM(C7:N7)</f>
      </c>
    </row>
    <row r="8" ht="19.5" customHeight="1" spans="1:15" s="1" customFormat="1" x14ac:dyDescent="0.25">
      <c r="A8" s="33" t="s">
        <v>191</v>
      </c>
      <c r="B8" s="33" t="s">
        <v>192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49">
        <f>SUM(C8:N8)</f>
      </c>
    </row>
    <row r="9" ht="19.5" customHeight="1" spans="1:15" s="1" customFormat="1" x14ac:dyDescent="0.25">
      <c r="A9" s="33" t="s">
        <v>193</v>
      </c>
      <c r="B9" s="33" t="s">
        <v>194</v>
      </c>
      <c r="C9" s="93">
        <v>0</v>
      </c>
      <c r="D9" s="93">
        <v>0</v>
      </c>
      <c r="E9" s="93">
        <v>0</v>
      </c>
      <c r="F9" s="93">
        <v>0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  <c r="M9" s="93">
        <v>0</v>
      </c>
      <c r="N9" s="93">
        <v>0</v>
      </c>
      <c r="O9" s="49">
        <f>SUM(C9:N9)</f>
      </c>
    </row>
    <row r="10" ht="19.5" customHeight="1" spans="1:15" s="1" customFormat="1" x14ac:dyDescent="0.25">
      <c r="A10" s="33" t="s">
        <v>195</v>
      </c>
      <c r="B10" s="33" t="s">
        <v>196</v>
      </c>
      <c r="C10" s="93">
        <v>0</v>
      </c>
      <c r="D10" s="93">
        <v>0</v>
      </c>
      <c r="E10" s="93">
        <v>0</v>
      </c>
      <c r="F10" s="93">
        <v>0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v>0</v>
      </c>
      <c r="O10" s="49">
        <f>SUM(C10:N10)</f>
      </c>
    </row>
    <row r="11" ht="21.75" customHeight="1" spans="1:15" s="1" customFormat="1" x14ac:dyDescent="0.25">
      <c r="A11" s="94" t="s">
        <v>197</v>
      </c>
      <c r="B11" s="94" t="s">
        <v>198</v>
      </c>
      <c r="C11" s="95">
        <f>SUM(C6:C10)</f>
      </c>
      <c r="D11" s="95">
        <f>SUM(D6:D10)</f>
      </c>
      <c r="E11" s="95">
        <f>SUM(E6:E10)</f>
      </c>
      <c r="F11" s="95">
        <f>SUM(F6:F10)</f>
      </c>
      <c r="G11" s="95">
        <f>SUM(G6:G10)</f>
      </c>
      <c r="H11" s="95">
        <f>SUM(H6:H10)</f>
      </c>
      <c r="I11" s="95">
        <f>SUM(I6:I10)</f>
      </c>
      <c r="J11" s="95">
        <f>SUM(J6:J10)</f>
      </c>
      <c r="K11" s="95">
        <f>SUM(K6:K10)</f>
      </c>
      <c r="L11" s="95">
        <f>SUM(L6:L10)</f>
      </c>
      <c r="M11" s="95">
        <f>SUM(M6:M10)</f>
      </c>
      <c r="N11" s="95">
        <f>SUM(N6:N10)</f>
      </c>
      <c r="O11" s="95">
        <f>SUM(C11:N11)</f>
      </c>
    </row>
    <row r="13" ht="24" customHeight="1" spans="1:15" s="1" customFormat="1" x14ac:dyDescent="0.25">
      <c r="A13" s="91" t="s">
        <v>199</v>
      </c>
      <c r="B13" s="91" t="s">
        <v>200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</row>
    <row r="14" ht="19.5" customHeight="1" spans="1:15" s="1" customFormat="1" x14ac:dyDescent="0.25">
      <c r="A14" s="33" t="s">
        <v>201</v>
      </c>
      <c r="B14" s="33" t="s">
        <v>202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49">
        <f>SUM(C14:N14)</f>
      </c>
    </row>
    <row r="15" ht="19.5" customHeight="1" spans="1:15" s="1" customFormat="1" x14ac:dyDescent="0.25">
      <c r="A15" s="33" t="s">
        <v>203</v>
      </c>
      <c r="B15" s="33" t="s">
        <v>204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49">
        <f>SUM(C15:N15)</f>
      </c>
    </row>
    <row r="16" ht="21.75" customHeight="1" spans="1:15" s="1" customFormat="1" x14ac:dyDescent="0.25">
      <c r="A16" s="94" t="s">
        <v>197</v>
      </c>
      <c r="B16" s="94" t="s">
        <v>205</v>
      </c>
      <c r="C16" s="95">
        <f>C11-C14-C15</f>
      </c>
      <c r="D16" s="95">
        <f>D11-D14-D15</f>
      </c>
      <c r="E16" s="95">
        <f>E11-E14-E15</f>
      </c>
      <c r="F16" s="95">
        <f>F11-F14-F15</f>
      </c>
      <c r="G16" s="95">
        <f>G11-G14-G15</f>
      </c>
      <c r="H16" s="95">
        <f>H11-H14-H15</f>
      </c>
      <c r="I16" s="95">
        <f>I11-I14-I15</f>
      </c>
      <c r="J16" s="95">
        <f>J11-J14-J15</f>
      </c>
      <c r="K16" s="95">
        <f>K11-K14-K15</f>
      </c>
      <c r="L16" s="95">
        <f>L11-L14-L15</f>
      </c>
      <c r="M16" s="95">
        <f>M11-M14-M15</f>
      </c>
      <c r="N16" s="95">
        <f>N11-N14-N15</f>
      </c>
      <c r="O16" s="95">
        <f>SUM(C16:N16)</f>
      </c>
    </row>
    <row r="18" ht="24" customHeight="1" spans="1:15" s="1" customFormat="1" x14ac:dyDescent="0.25">
      <c r="A18" s="91" t="s">
        <v>206</v>
      </c>
      <c r="B18" s="91" t="s">
        <v>207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</row>
    <row r="19" ht="19.5" customHeight="1" spans="1:15" s="1" customFormat="1" x14ac:dyDescent="0.25">
      <c r="A19" s="33" t="s">
        <v>208</v>
      </c>
      <c r="B19" s="33" t="s">
        <v>209</v>
      </c>
      <c r="C19" s="93">
        <v>0</v>
      </c>
      <c r="D19" s="93">
        <v>0</v>
      </c>
      <c r="E19" s="93">
        <v>0</v>
      </c>
      <c r="F19" s="93">
        <v>0</v>
      </c>
      <c r="G19" s="93">
        <v>1100</v>
      </c>
      <c r="H19" s="93">
        <v>0</v>
      </c>
      <c r="I19" s="93">
        <v>0</v>
      </c>
      <c r="J19" s="93">
        <v>0</v>
      </c>
      <c r="K19" s="93">
        <v>0</v>
      </c>
      <c r="L19" s="93">
        <v>0</v>
      </c>
      <c r="M19" s="93">
        <v>0</v>
      </c>
      <c r="N19" s="93">
        <v>0</v>
      </c>
      <c r="O19" s="49">
        <f>SUM(C19:N19)</f>
      </c>
    </row>
    <row r="20" ht="19.5" customHeight="1" spans="1:15" s="1" customFormat="1" x14ac:dyDescent="0.25">
      <c r="A20" s="33" t="s">
        <v>210</v>
      </c>
      <c r="B20" s="33" t="s">
        <v>211</v>
      </c>
      <c r="C20" s="93">
        <v>0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49">
        <f>SUM(C20:N20)</f>
      </c>
    </row>
    <row r="21" ht="21.75" customHeight="1" spans="1:15" s="1" customFormat="1" x14ac:dyDescent="0.25">
      <c r="A21" s="94" t="s">
        <v>197</v>
      </c>
      <c r="B21" s="94" t="s">
        <v>212</v>
      </c>
      <c r="C21" s="95">
        <f>C16-C19-C20</f>
      </c>
      <c r="D21" s="95">
        <f>D16-D19-D20</f>
      </c>
      <c r="E21" s="95">
        <f>E16-E19-E20</f>
      </c>
      <c r="F21" s="95">
        <f>F16-F19-F20</f>
      </c>
      <c r="G21" s="95">
        <f>G16-G19-G20</f>
      </c>
      <c r="H21" s="95">
        <f>H16-H19-H20</f>
      </c>
      <c r="I21" s="95">
        <f>I16-I19-I20</f>
      </c>
      <c r="J21" s="95">
        <f>J16-J19-J20</f>
      </c>
      <c r="K21" s="95">
        <f>K16-K19-K20</f>
      </c>
      <c r="L21" s="95">
        <f>L16-L19-L20</f>
      </c>
      <c r="M21" s="95">
        <f>M16-M19-M20</f>
      </c>
      <c r="N21" s="95">
        <f>N16-N19-N20</f>
      </c>
      <c r="O21" s="95">
        <f>SUM(C21:N21)</f>
      </c>
    </row>
    <row r="22" ht="15.75" customHeight="1" s="1" customFormat="1" x14ac:dyDescent="0.25"/>
    <row r="23" ht="24" customHeight="1" spans="1:15" s="1" customFormat="1" x14ac:dyDescent="0.25">
      <c r="A23" s="91" t="s">
        <v>213</v>
      </c>
      <c r="B23" s="91" t="s">
        <v>214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</row>
    <row r="24" ht="19.5" customHeight="1" spans="1:15" s="1" customFormat="1" x14ac:dyDescent="0.25">
      <c r="A24" s="33" t="s">
        <v>215</v>
      </c>
      <c r="B24" s="33" t="s">
        <v>216</v>
      </c>
      <c r="C24" s="93">
        <v>0</v>
      </c>
      <c r="D24" s="93">
        <v>0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49">
        <f>SUM(C24:N24)</f>
      </c>
    </row>
    <row r="25" ht="19.5" customHeight="1" spans="1:15" s="1" customFormat="1" x14ac:dyDescent="0.25">
      <c r="A25" s="33" t="s">
        <v>217</v>
      </c>
      <c r="B25" s="33" t="s">
        <v>218</v>
      </c>
      <c r="C25" s="93">
        <v>0</v>
      </c>
      <c r="D25" s="93">
        <v>0</v>
      </c>
      <c r="E25" s="93">
        <v>0</v>
      </c>
      <c r="F25" s="93">
        <v>0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93">
        <v>0</v>
      </c>
      <c r="O25" s="49">
        <f>SUM(C25:N25)</f>
      </c>
    </row>
    <row r="26" ht="19.5" customHeight="1" spans="1:15" s="1" customFormat="1" x14ac:dyDescent="0.25">
      <c r="A26" s="33" t="s">
        <v>219</v>
      </c>
      <c r="B26" s="33" t="s">
        <v>220</v>
      </c>
      <c r="C26" s="93">
        <v>0</v>
      </c>
      <c r="D26" s="93">
        <v>0</v>
      </c>
      <c r="E26" s="93">
        <v>0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49">
        <f>SUM(C26:N26)</f>
      </c>
    </row>
    <row r="27" ht="19.5" customHeight="1" spans="1:15" s="1" customFormat="1" x14ac:dyDescent="0.25">
      <c r="A27" s="33" t="s">
        <v>221</v>
      </c>
      <c r="B27" s="33" t="s">
        <v>222</v>
      </c>
      <c r="C27" s="93">
        <v>0</v>
      </c>
      <c r="D27" s="93">
        <v>0</v>
      </c>
      <c r="E27" s="93">
        <v>0</v>
      </c>
      <c r="F27" s="93">
        <v>0</v>
      </c>
      <c r="G27" s="93">
        <v>0</v>
      </c>
      <c r="H27" s="93">
        <v>0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49">
        <f>SUM(C27:N27)</f>
      </c>
    </row>
    <row r="28" ht="19.5" customHeight="1" spans="1:15" s="1" customFormat="1" x14ac:dyDescent="0.25">
      <c r="A28" s="33" t="s">
        <v>223</v>
      </c>
      <c r="B28" s="33" t="s">
        <v>224</v>
      </c>
      <c r="C28" s="93">
        <v>0</v>
      </c>
      <c r="D28" s="93">
        <v>0</v>
      </c>
      <c r="E28" s="93">
        <v>0</v>
      </c>
      <c r="F28" s="93">
        <v>0</v>
      </c>
      <c r="G28" s="93">
        <v>0</v>
      </c>
      <c r="H28" s="93">
        <v>0</v>
      </c>
      <c r="I28" s="93">
        <v>0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49">
        <f>SUM(C28:N28)</f>
      </c>
    </row>
    <row r="29" ht="19.5" customHeight="1" spans="1:15" s="1" customFormat="1" x14ac:dyDescent="0.25">
      <c r="A29" s="33" t="s">
        <v>225</v>
      </c>
      <c r="B29" s="33" t="s">
        <v>226</v>
      </c>
      <c r="C29" s="93">
        <v>0</v>
      </c>
      <c r="D29" s="93">
        <v>0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49">
        <f>SUM(C29:N29)</f>
      </c>
    </row>
    <row r="30" ht="19.5" customHeight="1" spans="1:15" s="1" customFormat="1" x14ac:dyDescent="0.25">
      <c r="A30" s="33" t="s">
        <v>227</v>
      </c>
      <c r="B30" s="33" t="s">
        <v>228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49">
        <f>SUM(C30:N30)</f>
      </c>
    </row>
    <row r="31" ht="19.5" customHeight="1" spans="1:15" s="1" customFormat="1" x14ac:dyDescent="0.25">
      <c r="A31" s="33" t="s">
        <v>229</v>
      </c>
      <c r="B31" s="33" t="s">
        <v>230</v>
      </c>
      <c r="C31" s="93">
        <v>0</v>
      </c>
      <c r="D31" s="93">
        <v>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49">
        <f>SUM(C31:N31)</f>
      </c>
    </row>
    <row r="32" ht="19.5" customHeight="1" spans="1:15" s="1" customFormat="1" x14ac:dyDescent="0.25">
      <c r="A32" s="33" t="s">
        <v>231</v>
      </c>
      <c r="B32" s="33" t="s">
        <v>232</v>
      </c>
      <c r="C32" s="93">
        <v>0</v>
      </c>
      <c r="D32" s="93">
        <v>0</v>
      </c>
      <c r="E32" s="93">
        <v>0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0</v>
      </c>
      <c r="O32" s="49">
        <f>SUM(C32:N32)</f>
      </c>
    </row>
    <row r="33" ht="21.75" customHeight="1" spans="1:15" s="1" customFormat="1" x14ac:dyDescent="0.25">
      <c r="A33" s="96" t="s">
        <v>197</v>
      </c>
      <c r="B33" s="96" t="s">
        <v>233</v>
      </c>
      <c r="C33" s="97">
        <f>SUM(C24:C32)</f>
      </c>
      <c r="D33" s="97">
        <f>SUM(D24:D32)</f>
      </c>
      <c r="E33" s="97">
        <f>SUM(E24:E32)</f>
      </c>
      <c r="F33" s="97">
        <f>SUM(F24:F32)</f>
      </c>
      <c r="G33" s="97">
        <f>SUM(G24:G32)</f>
      </c>
      <c r="H33" s="97">
        <f>SUM(H24:H32)</f>
      </c>
      <c r="I33" s="97">
        <f>SUM(I24:I32)</f>
      </c>
      <c r="J33" s="97">
        <f>SUM(J24:J32)</f>
      </c>
      <c r="K33" s="97">
        <f>SUM(K24:K32)</f>
      </c>
      <c r="L33" s="97">
        <f>SUM(L24:L32)</f>
      </c>
      <c r="M33" s="97">
        <f>SUM(M24:M32)</f>
      </c>
      <c r="N33" s="97">
        <f>SUM(N24:N32)</f>
      </c>
      <c r="O33" s="97">
        <f>SUM(C33:N33)</f>
      </c>
    </row>
    <row r="34" ht="15.75" customHeight="1" s="1" customFormat="1" x14ac:dyDescent="0.25"/>
    <row r="35" ht="21.75" customHeight="1" spans="1:15" s="1" customFormat="1" x14ac:dyDescent="0.25">
      <c r="A35" s="98" t="s">
        <v>197</v>
      </c>
      <c r="B35" s="98" t="s">
        <v>234</v>
      </c>
      <c r="C35" s="99">
        <f>C21-C33</f>
      </c>
      <c r="D35" s="99">
        <f>D21-D33</f>
      </c>
      <c r="E35" s="99">
        <f>E21-E33</f>
      </c>
      <c r="F35" s="99">
        <f>F21-F33</f>
      </c>
      <c r="G35" s="99">
        <f>G21-G33</f>
      </c>
      <c r="H35" s="99">
        <f>H21-H33</f>
      </c>
      <c r="I35" s="99">
        <f>I21-I33</f>
      </c>
      <c r="J35" s="99">
        <f>J21-J33</f>
      </c>
      <c r="K35" s="99">
        <f>K21-K33</f>
      </c>
      <c r="L35" s="99">
        <f>L21-L33</f>
      </c>
      <c r="M35" s="99">
        <f>M21-M33</f>
      </c>
      <c r="N35" s="99">
        <f>N21-N33</f>
      </c>
      <c r="O35" s="99">
        <f>SUM(C35:N35)</f>
      </c>
    </row>
    <row r="36" ht="15.75" customHeight="1" s="1" customFormat="1" x14ac:dyDescent="0.25"/>
    <row r="37" ht="24" customHeight="1" spans="1:15" s="1" customFormat="1" x14ac:dyDescent="0.25">
      <c r="A37" s="91" t="s">
        <v>235</v>
      </c>
      <c r="B37" s="91" t="s">
        <v>236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ht="19.5" customHeight="1" spans="1:15" s="1" customFormat="1" x14ac:dyDescent="0.25">
      <c r="A38" s="33" t="s">
        <v>237</v>
      </c>
      <c r="B38" s="33" t="s">
        <v>238</v>
      </c>
      <c r="C38" s="93">
        <v>0</v>
      </c>
      <c r="D38" s="93">
        <v>0</v>
      </c>
      <c r="E38" s="93">
        <v>0</v>
      </c>
      <c r="F38" s="93">
        <v>0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49">
        <f>SUM(C38:N38)</f>
      </c>
    </row>
    <row r="39" ht="19.5" customHeight="1" spans="1:15" s="1" customFormat="1" x14ac:dyDescent="0.25">
      <c r="A39" s="33" t="s">
        <v>239</v>
      </c>
      <c r="B39" s="33" t="s">
        <v>240</v>
      </c>
      <c r="C39" s="93">
        <v>0</v>
      </c>
      <c r="D39" s="93">
        <v>0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49">
        <f>SUM(C39:N39)</f>
      </c>
    </row>
    <row r="40" ht="21.75" customHeight="1" spans="1:15" s="1" customFormat="1" x14ac:dyDescent="0.25">
      <c r="A40" s="98" t="s">
        <v>197</v>
      </c>
      <c r="B40" s="98" t="s">
        <v>241</v>
      </c>
      <c r="C40" s="99">
        <f>C38-C39</f>
      </c>
      <c r="D40" s="99">
        <f>D38-D39</f>
      </c>
      <c r="E40" s="99">
        <f>E38-E39</f>
      </c>
      <c r="F40" s="99">
        <f>F38-F39</f>
      </c>
      <c r="G40" s="99">
        <f>G38-G39</f>
      </c>
      <c r="H40" s="99">
        <f>H38-H39</f>
      </c>
      <c r="I40" s="99">
        <f>I38-I39</f>
      </c>
      <c r="J40" s="99">
        <f>J38-J39</f>
      </c>
      <c r="K40" s="99">
        <f>K38-K39</f>
      </c>
      <c r="L40" s="99">
        <f>L38-L39</f>
      </c>
      <c r="M40" s="99">
        <f>M38-M39</f>
      </c>
      <c r="N40" s="99">
        <f>N38-N39</f>
      </c>
      <c r="O40" s="99">
        <f>SUM(C40:N40)</f>
      </c>
    </row>
    <row r="41" ht="15.75" customHeight="1" s="1" customFormat="1" x14ac:dyDescent="0.25"/>
    <row r="42" ht="7.5" customHeight="1" s="1" customFormat="1" x14ac:dyDescent="0.25"/>
    <row r="43" ht="27.75" customHeight="1" spans="1:15" s="1" customFormat="1" x14ac:dyDescent="0.25">
      <c r="A43" s="100" t="s">
        <v>197</v>
      </c>
      <c r="B43" s="100" t="s">
        <v>42</v>
      </c>
      <c r="C43" s="101">
        <f>C35+C40</f>
      </c>
      <c r="D43" s="101">
        <f>D35+D40</f>
      </c>
      <c r="E43" s="101">
        <f>E35+E40</f>
      </c>
      <c r="F43" s="101">
        <f>F35+F40</f>
      </c>
      <c r="G43" s="101">
        <f>G35+G40</f>
      </c>
      <c r="H43" s="101">
        <f>H35+H40</f>
      </c>
      <c r="I43" s="101">
        <f>I35+I40</f>
      </c>
      <c r="J43" s="101">
        <f>J35+J40</f>
      </c>
      <c r="K43" s="101">
        <f>K35+K40</f>
      </c>
      <c r="L43" s="101">
        <f>L35+L40</f>
      </c>
      <c r="M43" s="101">
        <f>M35+M40</f>
      </c>
      <c r="N43" s="101">
        <f>N35+N40</f>
      </c>
      <c r="O43" s="102">
        <f>SUM(C43:N43)</f>
      </c>
    </row>
    <row r="44" ht="15.75" customHeight="1" s="1" customFormat="1" x14ac:dyDescent="0.25"/>
    <row r="45" ht="24" customHeight="1" spans="1:15" s="1" customFormat="1" x14ac:dyDescent="0.25">
      <c r="A45" s="103" t="s">
        <v>242</v>
      </c>
      <c r="B45" s="103" t="s">
        <v>43</v>
      </c>
      <c r="C45" s="104">
        <f>IFERROR(C43/C11,0)</f>
      </c>
      <c r="D45" s="104">
        <f>IFERROR(D43/D11,0)</f>
      </c>
      <c r="E45" s="104">
        <f>IFERROR(E43/E11,0)</f>
      </c>
      <c r="F45" s="104">
        <f>IFERROR(F43/F11,0)</f>
      </c>
      <c r="G45" s="104">
        <f>IFERROR(G43/G11,0)</f>
      </c>
      <c r="H45" s="104">
        <f>IFERROR(H43/H11,0)</f>
      </c>
      <c r="I45" s="104">
        <f>IFERROR(I43/I11,0)</f>
      </c>
      <c r="J45" s="104">
        <f>IFERROR(J43/J11,0)</f>
      </c>
      <c r="K45" s="104">
        <f>IFERROR(K43/K11,0)</f>
      </c>
      <c r="L45" s="104">
        <f>IFERROR(L43/L11,0)</f>
      </c>
      <c r="M45" s="104">
        <f>IFERROR(M43/M11,0)</f>
      </c>
      <c r="N45" s="104">
        <f>IFERROR(N43/N11,0)</f>
      </c>
      <c r="O45" s="104">
        <f>IFERROR(O43/O11,0)</f>
      </c>
    </row>
    <row r="46" ht="15.75" customHeight="1" s="1" customFormat="1" x14ac:dyDescent="0.25"/>
    <row r="47" ht="15.75" customHeight="1" s="1" customFormat="1" x14ac:dyDescent="0.25"/>
    <row r="48" ht="15.75" customHeight="1" s="1" customFormat="1" x14ac:dyDescent="0.25"/>
    <row r="49" ht="15.75" customHeight="1" s="1" customFormat="1" x14ac:dyDescent="0.25"/>
    <row r="50" ht="15.75" customHeight="1" s="1" customFormat="1" x14ac:dyDescent="0.25"/>
    <row r="51" ht="15.75" customHeight="1" s="1" customFormat="1" x14ac:dyDescent="0.25"/>
    <row r="52" ht="15.75" customHeight="1" s="1" customFormat="1" x14ac:dyDescent="0.25"/>
    <row r="53" ht="15.75" customHeight="1" s="1" customFormat="1" x14ac:dyDescent="0.25"/>
    <row r="54" ht="15.75" customHeight="1" s="1" customFormat="1" x14ac:dyDescent="0.25"/>
    <row r="55" ht="15.75" customHeight="1" s="1" customFormat="1" x14ac:dyDescent="0.25"/>
    <row r="56" ht="15.75" customHeight="1" s="1" customFormat="1" x14ac:dyDescent="0.25"/>
    <row r="57" ht="15.75" customHeight="1" s="1" customFormat="1" x14ac:dyDescent="0.25"/>
    <row r="58" ht="15.75" customHeight="1" s="1" customFormat="1" x14ac:dyDescent="0.25"/>
    <row r="59" ht="15.75" customHeight="1" s="1" customFormat="1" x14ac:dyDescent="0.25"/>
    <row r="60" ht="15.75" customHeight="1" s="1" customFormat="1" x14ac:dyDescent="0.25"/>
    <row r="61" ht="15.75" customHeight="1" s="1" customFormat="1" x14ac:dyDescent="0.25"/>
    <row r="62" ht="15.75" customHeight="1" s="1" customFormat="1" x14ac:dyDescent="0.25"/>
    <row r="63" ht="15.75" customHeight="1" s="1" customFormat="1" x14ac:dyDescent="0.25"/>
    <row r="64" ht="15.75" customHeight="1" s="1" customFormat="1" x14ac:dyDescent="0.25"/>
    <row r="65" ht="15.75" customHeight="1" s="1" customFormat="1" x14ac:dyDescent="0.25"/>
    <row r="66" ht="15.75" customHeight="1" s="1" customFormat="1" x14ac:dyDescent="0.25"/>
    <row r="67" ht="15.75" customHeight="1" s="1" customFormat="1" x14ac:dyDescent="0.25"/>
    <row r="68" ht="15.75" customHeight="1" s="1" customFormat="1" x14ac:dyDescent="0.25"/>
    <row r="69" ht="15.75" customHeight="1" s="1" customFormat="1" x14ac:dyDescent="0.25"/>
    <row r="70" ht="15.75" customHeight="1" s="1" customFormat="1" x14ac:dyDescent="0.25"/>
    <row r="71" ht="15.75" customHeight="1" s="1" customFormat="1" x14ac:dyDescent="0.25"/>
    <row r="72" ht="15.75" customHeight="1" s="1" customFormat="1" x14ac:dyDescent="0.25"/>
    <row r="73" ht="15.75" customHeight="1" s="1" customFormat="1" x14ac:dyDescent="0.25"/>
    <row r="74" ht="15.75" customHeight="1" s="1" customFormat="1" x14ac:dyDescent="0.25"/>
    <row r="75" ht="15.75" customHeight="1" s="1" customFormat="1" x14ac:dyDescent="0.25"/>
    <row r="76" ht="15.75" customHeight="1" s="1" customFormat="1" x14ac:dyDescent="0.25"/>
    <row r="77" ht="15.75" customHeight="1" s="1" customFormat="1" x14ac:dyDescent="0.25"/>
    <row r="78" ht="15.75" customHeight="1" s="1" customFormat="1" x14ac:dyDescent="0.25"/>
    <row r="79" ht="15.75" customHeight="1" s="1" customFormat="1" x14ac:dyDescent="0.25"/>
    <row r="80" ht="15.75" customHeight="1" s="1" customFormat="1" x14ac:dyDescent="0.25"/>
    <row r="81" ht="15.75" customHeight="1" s="1" customFormat="1" x14ac:dyDescent="0.25"/>
    <row r="82" ht="15.75" customHeight="1" s="1" customFormat="1" x14ac:dyDescent="0.25"/>
    <row r="83" ht="15.75" customHeight="1" s="1" customFormat="1" x14ac:dyDescent="0.25"/>
    <row r="84" ht="15.75" customHeight="1" s="1" customFormat="1" x14ac:dyDescent="0.25"/>
    <row r="85" ht="15.75" customHeight="1" s="1" customFormat="1" x14ac:dyDescent="0.25"/>
    <row r="86" ht="15.75" customHeight="1" s="1" customFormat="1" x14ac:dyDescent="0.25"/>
    <row r="87" ht="15.75" customHeight="1" s="1" customFormat="1" x14ac:dyDescent="0.25"/>
    <row r="88" ht="15.75" customHeight="1" s="1" customFormat="1" x14ac:dyDescent="0.25"/>
    <row r="89" ht="15.75" customHeight="1" s="1" customFormat="1" x14ac:dyDescent="0.25"/>
    <row r="90" ht="15.75" customHeight="1" s="1" customFormat="1" x14ac:dyDescent="0.25"/>
    <row r="91" ht="15.75" customHeight="1" s="1" customFormat="1" x14ac:dyDescent="0.25"/>
    <row r="92" ht="15.75" customHeight="1" s="1" customFormat="1" x14ac:dyDescent="0.25"/>
    <row r="93" ht="15.75" customHeight="1" s="1" customFormat="1" x14ac:dyDescent="0.25"/>
    <row r="94" ht="15.75" customHeight="1" s="1" customFormat="1" x14ac:dyDescent="0.25"/>
    <row r="95" ht="15.75" customHeight="1" s="1" customFormat="1" x14ac:dyDescent="0.25"/>
    <row r="96" ht="15.75" customHeight="1" s="1" customFormat="1" x14ac:dyDescent="0.25"/>
    <row r="97" ht="15.75" customHeight="1" s="1" customFormat="1" x14ac:dyDescent="0.25"/>
    <row r="98" ht="15.75" customHeight="1" s="1" customFormat="1" x14ac:dyDescent="0.25"/>
    <row r="99" ht="15.75" customHeight="1" s="1" customFormat="1" x14ac:dyDescent="0.25"/>
    <row r="100" ht="15.75" customHeight="1" s="1" customFormat="1" x14ac:dyDescent="0.25"/>
    <row r="101" ht="15.75" customHeight="1" s="1" customFormat="1" x14ac:dyDescent="0.25"/>
    <row r="102" ht="15.75" customHeight="1" s="1" customFormat="1" x14ac:dyDescent="0.25"/>
    <row r="103" ht="15.75" customHeight="1" s="1" customFormat="1" x14ac:dyDescent="0.25"/>
    <row r="104" ht="15.75" customHeight="1" s="1" customFormat="1" x14ac:dyDescent="0.25"/>
    <row r="105" ht="15.75" customHeight="1" s="1" customFormat="1" x14ac:dyDescent="0.25"/>
    <row r="106" ht="15.75" customHeight="1" s="1" customFormat="1" x14ac:dyDescent="0.25"/>
    <row r="107" ht="15.75" customHeight="1" s="1" customFormat="1" x14ac:dyDescent="0.25"/>
    <row r="108" ht="15.75" customHeight="1" s="1" customFormat="1" x14ac:dyDescent="0.25"/>
    <row r="109" ht="15.75" customHeight="1" s="1" customFormat="1" x14ac:dyDescent="0.25"/>
    <row r="110" ht="15.75" customHeight="1" s="1" customFormat="1" x14ac:dyDescent="0.25"/>
    <row r="111" ht="15.75" customHeight="1" s="1" customFormat="1" x14ac:dyDescent="0.25"/>
    <row r="112" ht="15.75" customHeight="1" s="1" customFormat="1" x14ac:dyDescent="0.25"/>
    <row r="113" ht="15.75" customHeight="1" s="1" customFormat="1" x14ac:dyDescent="0.25"/>
    <row r="114" ht="15.75" customHeight="1" s="1" customFormat="1" x14ac:dyDescent="0.25"/>
    <row r="115" ht="15.75" customHeight="1" s="1" customFormat="1" x14ac:dyDescent="0.25"/>
    <row r="116" ht="15.75" customHeight="1" s="1" customFormat="1" x14ac:dyDescent="0.25"/>
    <row r="117" ht="15.75" customHeight="1" s="1" customFormat="1" x14ac:dyDescent="0.25"/>
    <row r="118" ht="15.75" customHeight="1" s="1" customFormat="1" x14ac:dyDescent="0.25"/>
    <row r="119" ht="15.75" customHeight="1" s="1" customFormat="1" x14ac:dyDescent="0.25"/>
    <row r="120" ht="15.75" customHeight="1" s="1" customFormat="1" x14ac:dyDescent="0.25"/>
    <row r="121" ht="15.75" customHeight="1" s="1" customFormat="1" x14ac:dyDescent="0.25"/>
    <row r="122" ht="15.75" customHeight="1" s="1" customFormat="1" x14ac:dyDescent="0.25"/>
    <row r="123" ht="15.75" customHeight="1" s="1" customFormat="1" x14ac:dyDescent="0.25"/>
    <row r="124" ht="15.75" customHeight="1" s="1" customFormat="1" x14ac:dyDescent="0.25"/>
    <row r="125" ht="15.75" customHeight="1" s="1" customFormat="1" x14ac:dyDescent="0.25"/>
    <row r="126" ht="15.75" customHeight="1" s="1" customFormat="1" x14ac:dyDescent="0.25"/>
    <row r="127" ht="15.75" customHeight="1" s="1" customFormat="1" x14ac:dyDescent="0.25"/>
    <row r="128" ht="15.75" customHeight="1" s="1" customFormat="1" x14ac:dyDescent="0.25"/>
    <row r="129" ht="15.75" customHeight="1" s="1" customFormat="1" x14ac:dyDescent="0.25"/>
    <row r="130" ht="15.75" customHeight="1" s="1" customFormat="1" x14ac:dyDescent="0.25"/>
    <row r="131" ht="15.75" customHeight="1" s="1" customFormat="1" x14ac:dyDescent="0.25"/>
    <row r="132" ht="15.75" customHeight="1" s="1" customFormat="1" x14ac:dyDescent="0.25"/>
    <row r="133" ht="15.75" customHeight="1" s="1" customFormat="1" x14ac:dyDescent="0.25"/>
    <row r="134" ht="15.75" customHeight="1" s="1" customFormat="1" x14ac:dyDescent="0.25"/>
    <row r="135" ht="15.75" customHeight="1" s="1" customFormat="1" x14ac:dyDescent="0.25"/>
    <row r="136" ht="15.75" customHeight="1" s="1" customFormat="1" x14ac:dyDescent="0.25"/>
    <row r="137" ht="15.75" customHeight="1" s="1" customFormat="1" x14ac:dyDescent="0.25"/>
    <row r="138" ht="15.75" customHeight="1" s="1" customFormat="1" x14ac:dyDescent="0.25"/>
    <row r="139" ht="15.75" customHeight="1" s="1" customFormat="1" x14ac:dyDescent="0.25"/>
    <row r="140" ht="15.75" customHeight="1" s="1" customFormat="1" x14ac:dyDescent="0.25"/>
    <row r="141" ht="15.75" customHeight="1" s="1" customFormat="1" x14ac:dyDescent="0.25"/>
    <row r="142" ht="15.75" customHeight="1" s="1" customFormat="1" x14ac:dyDescent="0.25"/>
    <row r="143" ht="15.75" customHeight="1" s="1" customFormat="1" x14ac:dyDescent="0.25"/>
    <row r="144" ht="15.75" customHeight="1" s="1" customFormat="1" x14ac:dyDescent="0.25"/>
    <row r="145" ht="15.75" customHeight="1" s="1" customFormat="1" x14ac:dyDescent="0.25"/>
    <row r="146" ht="15.75" customHeight="1" s="1" customFormat="1" x14ac:dyDescent="0.25"/>
    <row r="147" ht="15.75" customHeight="1" s="1" customFormat="1" x14ac:dyDescent="0.25"/>
    <row r="148" ht="15.75" customHeight="1" s="1" customFormat="1" x14ac:dyDescent="0.25"/>
    <row r="149" ht="15.75" customHeight="1" s="1" customFormat="1" x14ac:dyDescent="0.25"/>
    <row r="150" ht="15.75" customHeight="1" s="1" customFormat="1" x14ac:dyDescent="0.25"/>
    <row r="151" ht="15.75" customHeight="1" s="1" customFormat="1" x14ac:dyDescent="0.25"/>
    <row r="152" ht="15.75" customHeight="1" s="1" customFormat="1" x14ac:dyDescent="0.25"/>
    <row r="153" ht="15.75" customHeight="1" s="1" customFormat="1" x14ac:dyDescent="0.25"/>
    <row r="154" ht="15.75" customHeight="1" s="1" customFormat="1" x14ac:dyDescent="0.25"/>
    <row r="155" ht="15.75" customHeight="1" s="1" customFormat="1" x14ac:dyDescent="0.25"/>
    <row r="156" ht="15.75" customHeight="1" s="1" customFormat="1" x14ac:dyDescent="0.25"/>
    <row r="157" ht="15.75" customHeight="1" s="1" customFormat="1" x14ac:dyDescent="0.25"/>
    <row r="158" ht="15.75" customHeight="1" s="1" customFormat="1" x14ac:dyDescent="0.25"/>
    <row r="159" ht="15.75" customHeight="1" s="1" customFormat="1" x14ac:dyDescent="0.25"/>
    <row r="160" ht="15.75" customHeight="1" s="1" customFormat="1" x14ac:dyDescent="0.25"/>
    <row r="161" ht="15.75" customHeight="1" s="1" customFormat="1" x14ac:dyDescent="0.25"/>
    <row r="162" ht="15.75" customHeight="1" s="1" customFormat="1" x14ac:dyDescent="0.25"/>
    <row r="163" ht="15.75" customHeight="1" s="1" customFormat="1" x14ac:dyDescent="0.25"/>
    <row r="164" ht="15.75" customHeight="1" s="1" customFormat="1" x14ac:dyDescent="0.25"/>
    <row r="165" ht="15.75" customHeight="1" s="1" customFormat="1" x14ac:dyDescent="0.25"/>
    <row r="166" ht="15.75" customHeight="1" s="1" customFormat="1" x14ac:dyDescent="0.25"/>
    <row r="167" ht="15.75" customHeight="1" s="1" customFormat="1" x14ac:dyDescent="0.25"/>
    <row r="168" ht="15.75" customHeight="1" s="1" customFormat="1" x14ac:dyDescent="0.25"/>
    <row r="169" ht="15.75" customHeight="1" s="1" customFormat="1" x14ac:dyDescent="0.25"/>
    <row r="170" ht="15.75" customHeight="1" s="1" customFormat="1" x14ac:dyDescent="0.25"/>
    <row r="171" ht="15.75" customHeight="1" s="1" customFormat="1" x14ac:dyDescent="0.25"/>
    <row r="172" ht="15.75" customHeight="1" s="1" customFormat="1" x14ac:dyDescent="0.25"/>
    <row r="173" ht="15.75" customHeight="1" s="1" customFormat="1" x14ac:dyDescent="0.25"/>
    <row r="174" ht="15.75" customHeight="1" s="1" customFormat="1" x14ac:dyDescent="0.25"/>
    <row r="175" ht="15.75" customHeight="1" s="1" customFormat="1" x14ac:dyDescent="0.25"/>
    <row r="176" ht="15.75" customHeight="1" s="1" customFormat="1" x14ac:dyDescent="0.25"/>
    <row r="177" ht="15.75" customHeight="1" s="1" customFormat="1" x14ac:dyDescent="0.25"/>
    <row r="178" ht="15.75" customHeight="1" s="1" customFormat="1" x14ac:dyDescent="0.25"/>
    <row r="179" ht="15.75" customHeight="1" s="1" customFormat="1" x14ac:dyDescent="0.25"/>
    <row r="180" ht="15.75" customHeight="1" s="1" customFormat="1" x14ac:dyDescent="0.25"/>
    <row r="181" ht="15.75" customHeight="1" s="1" customFormat="1" x14ac:dyDescent="0.25"/>
    <row r="182" ht="15.75" customHeight="1" s="1" customFormat="1" x14ac:dyDescent="0.25"/>
    <row r="183" ht="15.75" customHeight="1" s="1" customFormat="1" x14ac:dyDescent="0.25"/>
    <row r="184" ht="15.75" customHeight="1" s="1" customFormat="1" x14ac:dyDescent="0.25"/>
    <row r="185" ht="15.75" customHeight="1" s="1" customFormat="1" x14ac:dyDescent="0.25"/>
    <row r="186" ht="15.75" customHeight="1" s="1" customFormat="1" x14ac:dyDescent="0.25"/>
    <row r="187" ht="15.75" customHeight="1" s="1" customFormat="1" x14ac:dyDescent="0.25"/>
    <row r="188" ht="15.75" customHeight="1" s="1" customFormat="1" x14ac:dyDescent="0.25"/>
    <row r="189" ht="15.75" customHeight="1" s="1" customFormat="1" x14ac:dyDescent="0.25"/>
    <row r="190" ht="15.75" customHeight="1" s="1" customFormat="1" x14ac:dyDescent="0.25"/>
    <row r="191" ht="15.75" customHeight="1" s="1" customFormat="1" x14ac:dyDescent="0.25"/>
    <row r="192" ht="15.75" customHeight="1" s="1" customFormat="1" x14ac:dyDescent="0.25"/>
    <row r="193" ht="15.75" customHeight="1" s="1" customFormat="1" x14ac:dyDescent="0.25"/>
    <row r="194" ht="15.75" customHeight="1" s="1" customFormat="1" x14ac:dyDescent="0.25"/>
    <row r="195" ht="15.75" customHeight="1" s="1" customFormat="1" x14ac:dyDescent="0.25"/>
    <row r="196" ht="15.75" customHeight="1" s="1" customFormat="1" x14ac:dyDescent="0.25"/>
    <row r="197" ht="15.75" customHeight="1" s="1" customFormat="1" x14ac:dyDescent="0.25"/>
    <row r="198" ht="15.75" customHeight="1" s="1" customFormat="1" x14ac:dyDescent="0.25"/>
    <row r="199" ht="15.75" customHeight="1" s="1" customFormat="1" x14ac:dyDescent="0.25"/>
    <row r="200" ht="15.75" customHeight="1" s="1" customFormat="1" x14ac:dyDescent="0.25"/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O1"/>
    <mergeCell ref="A2:O2"/>
    <mergeCell ref="A3:O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2" style="1" customWidth="1"/>
    <col min="2" max="2" width="40" style="1" customWidth="1"/>
    <col min="3" max="5" width="4" style="1" customWidth="1"/>
    <col min="6" max="26" width="8.71" style="1" customWidth="1"/>
  </cols>
  <sheetData>
    <row r="1" ht="27.75" customHeight="1" spans="1:5" s="1" customFormat="1" x14ac:dyDescent="0.25">
      <c r="A1" s="7" t="s">
        <v>0</v>
      </c>
      <c r="B1" s="1"/>
      <c r="C1" s="1"/>
      <c r="D1" s="1"/>
      <c r="E1" s="1"/>
    </row>
    <row r="2" ht="24" customHeight="1" spans="1:5" s="1" customFormat="1" x14ac:dyDescent="0.25">
      <c r="A2" s="8" t="s">
        <v>243</v>
      </c>
      <c r="B2" s="1"/>
      <c r="C2" s="1"/>
      <c r="D2" s="1"/>
      <c r="E2" s="1"/>
    </row>
    <row r="3" ht="18" customHeight="1" spans="1:5" s="1" customFormat="1" x14ac:dyDescent="0.25">
      <c r="A3" s="9" t="s">
        <v>244</v>
      </c>
      <c r="B3" s="1"/>
      <c r="C3" s="1"/>
      <c r="D3" s="1"/>
      <c r="E3" s="1"/>
    </row>
    <row r="4" ht="31.5" customHeight="1" spans="1:2" s="1" customFormat="1" x14ac:dyDescent="0.25">
      <c r="A4" s="105" t="s">
        <v>64</v>
      </c>
      <c r="B4" s="105" t="s">
        <v>245</v>
      </c>
    </row>
    <row r="5" spans="1:2" x14ac:dyDescent="0.25">
      <c r="A5" s="33" t="s">
        <v>144</v>
      </c>
      <c r="B5" s="33" t="s">
        <v>188</v>
      </c>
    </row>
    <row r="6" spans="1:2" x14ac:dyDescent="0.25">
      <c r="A6" s="36" t="s">
        <v>246</v>
      </c>
      <c r="B6" s="36" t="s">
        <v>190</v>
      </c>
    </row>
    <row r="7" spans="1:2" x14ac:dyDescent="0.25">
      <c r="A7" s="33" t="s">
        <v>247</v>
      </c>
      <c r="B7" s="33" t="s">
        <v>192</v>
      </c>
    </row>
    <row r="8" spans="1:2" x14ac:dyDescent="0.25">
      <c r="A8" s="36" t="s">
        <v>248</v>
      </c>
      <c r="B8" s="36" t="s">
        <v>194</v>
      </c>
    </row>
    <row r="9" spans="1:2" x14ac:dyDescent="0.25">
      <c r="A9" s="33" t="s">
        <v>249</v>
      </c>
      <c r="B9" s="33" t="s">
        <v>238</v>
      </c>
    </row>
    <row r="10" spans="1:2" x14ac:dyDescent="0.25">
      <c r="A10" s="36" t="s">
        <v>250</v>
      </c>
      <c r="B10" s="36" t="s">
        <v>196</v>
      </c>
    </row>
    <row r="11" spans="1:2" x14ac:dyDescent="0.25">
      <c r="A11" s="50"/>
      <c r="B11" s="50"/>
    </row>
    <row r="14" ht="31.5" customHeight="1" spans="1:2" s="1" customFormat="1" x14ac:dyDescent="0.25">
      <c r="A14" s="106" t="s">
        <v>64</v>
      </c>
      <c r="B14" s="106" t="s">
        <v>251</v>
      </c>
    </row>
    <row r="15" spans="1:2" x14ac:dyDescent="0.25">
      <c r="A15" s="33" t="s">
        <v>152</v>
      </c>
      <c r="B15" s="33" t="s">
        <v>209</v>
      </c>
    </row>
    <row r="16" spans="1:2" x14ac:dyDescent="0.25">
      <c r="A16" s="36" t="s">
        <v>252</v>
      </c>
      <c r="B16" s="36" t="s">
        <v>211</v>
      </c>
    </row>
    <row r="17" spans="1:2" x14ac:dyDescent="0.25">
      <c r="A17" s="33" t="s">
        <v>253</v>
      </c>
      <c r="B17" s="33" t="s">
        <v>216</v>
      </c>
    </row>
    <row r="18" spans="1:2" x14ac:dyDescent="0.25">
      <c r="A18" s="36" t="s">
        <v>254</v>
      </c>
      <c r="B18" s="36" t="s">
        <v>218</v>
      </c>
    </row>
    <row r="19" spans="1:2" x14ac:dyDescent="0.25">
      <c r="A19" s="33" t="s">
        <v>255</v>
      </c>
      <c r="B19" s="33" t="s">
        <v>220</v>
      </c>
    </row>
    <row r="20" spans="1:2" x14ac:dyDescent="0.25">
      <c r="A20" s="36" t="s">
        <v>256</v>
      </c>
      <c r="B20" s="36" t="s">
        <v>222</v>
      </c>
    </row>
    <row r="21" ht="15.75" customHeight="1" spans="1:2" s="1" customFormat="1" x14ac:dyDescent="0.25">
      <c r="A21" s="33" t="s">
        <v>257</v>
      </c>
      <c r="B21" s="33" t="s">
        <v>224</v>
      </c>
    </row>
    <row r="22" ht="15.75" customHeight="1" spans="1:2" s="1" customFormat="1" x14ac:dyDescent="0.25">
      <c r="A22" s="36" t="s">
        <v>258</v>
      </c>
      <c r="B22" s="36" t="s">
        <v>226</v>
      </c>
    </row>
    <row r="23" ht="15.75" customHeight="1" spans="1:2" s="1" customFormat="1" x14ac:dyDescent="0.25">
      <c r="A23" s="33" t="s">
        <v>259</v>
      </c>
      <c r="B23" s="33" t="s">
        <v>228</v>
      </c>
    </row>
    <row r="24" ht="15.75" customHeight="1" spans="1:2" s="1" customFormat="1" x14ac:dyDescent="0.25">
      <c r="A24" s="36" t="s">
        <v>260</v>
      </c>
      <c r="B24" s="36" t="s">
        <v>230</v>
      </c>
    </row>
    <row r="25" ht="15.75" customHeight="1" spans="1:2" s="1" customFormat="1" x14ac:dyDescent="0.25">
      <c r="A25" s="33" t="s">
        <v>261</v>
      </c>
      <c r="B25" s="33" t="s">
        <v>262</v>
      </c>
    </row>
    <row r="26" ht="15.75" customHeight="1" spans="1:2" s="1" customFormat="1" x14ac:dyDescent="0.25">
      <c r="A26" s="36" t="s">
        <v>263</v>
      </c>
      <c r="B26" s="36" t="s">
        <v>232</v>
      </c>
    </row>
    <row r="27" ht="15.75" customHeight="1" spans="1:2" s="1" customFormat="1" x14ac:dyDescent="0.25">
      <c r="A27" s="50"/>
      <c r="B27" s="50"/>
    </row>
    <row r="28" ht="15.75" customHeight="1" s="1" customFormat="1" x14ac:dyDescent="0.25"/>
    <row r="29" ht="15.75" customHeight="1" s="1" customFormat="1" x14ac:dyDescent="0.25"/>
    <row r="30" ht="15.75" customHeight="1" s="1" customFormat="1" x14ac:dyDescent="0.25"/>
    <row r="31" ht="15.75" customHeight="1" s="1" customFormat="1" x14ac:dyDescent="0.25"/>
    <row r="32" ht="15.75" customHeight="1" s="1" customFormat="1" x14ac:dyDescent="0.25"/>
    <row r="33" ht="15.75" customHeight="1" s="1" customFormat="1" x14ac:dyDescent="0.25"/>
    <row r="34" ht="15.75" customHeight="1" s="1" customFormat="1" x14ac:dyDescent="0.25"/>
    <row r="35" ht="15.75" customHeight="1" s="1" customFormat="1" x14ac:dyDescent="0.25"/>
    <row r="36" ht="15.75" customHeight="1" s="1" customFormat="1" x14ac:dyDescent="0.25"/>
    <row r="37" ht="15.75" customHeight="1" s="1" customFormat="1" x14ac:dyDescent="0.25"/>
    <row r="38" ht="15.75" customHeight="1" s="1" customFormat="1" x14ac:dyDescent="0.25"/>
    <row r="39" ht="15.75" customHeight="1" s="1" customFormat="1" x14ac:dyDescent="0.25"/>
    <row r="40" ht="15.75" customHeight="1" s="1" customFormat="1" x14ac:dyDescent="0.25"/>
    <row r="41" ht="15.75" customHeight="1" s="1" customFormat="1" x14ac:dyDescent="0.25"/>
    <row r="42" ht="15.75" customHeight="1" s="1" customFormat="1" x14ac:dyDescent="0.25"/>
    <row r="43" ht="15.75" customHeight="1" s="1" customFormat="1" x14ac:dyDescent="0.25"/>
    <row r="44" ht="15.75" customHeight="1" s="1" customFormat="1" x14ac:dyDescent="0.25"/>
    <row r="45" ht="15.75" customHeight="1" s="1" customFormat="1" x14ac:dyDescent="0.25"/>
    <row r="46" ht="15.75" customHeight="1" s="1" customFormat="1" x14ac:dyDescent="0.25"/>
    <row r="47" ht="15.75" customHeight="1" s="1" customFormat="1" x14ac:dyDescent="0.25"/>
    <row r="48" ht="15.75" customHeight="1" s="1" customFormat="1" x14ac:dyDescent="0.25"/>
    <row r="49" ht="15.75" customHeight="1" s="1" customFormat="1" x14ac:dyDescent="0.25"/>
    <row r="50" ht="15.75" customHeight="1" s="1" customFormat="1" x14ac:dyDescent="0.25"/>
    <row r="51" ht="15.75" customHeight="1" s="1" customFormat="1" x14ac:dyDescent="0.25"/>
    <row r="52" ht="15.75" customHeight="1" s="1" customFormat="1" x14ac:dyDescent="0.25"/>
    <row r="53" ht="15.75" customHeight="1" s="1" customFormat="1" x14ac:dyDescent="0.25"/>
    <row r="54" ht="15.75" customHeight="1" s="1" customFormat="1" x14ac:dyDescent="0.25"/>
    <row r="55" ht="15.75" customHeight="1" s="1" customFormat="1" x14ac:dyDescent="0.25"/>
    <row r="56" ht="15.75" customHeight="1" s="1" customFormat="1" x14ac:dyDescent="0.25"/>
    <row r="57" ht="15.75" customHeight="1" s="1" customFormat="1" x14ac:dyDescent="0.25"/>
    <row r="58" ht="15.75" customHeight="1" s="1" customFormat="1" x14ac:dyDescent="0.25"/>
    <row r="59" ht="15.75" customHeight="1" s="1" customFormat="1" x14ac:dyDescent="0.25"/>
    <row r="60" ht="15.75" customHeight="1" s="1" customFormat="1" x14ac:dyDescent="0.25"/>
    <row r="61" ht="15.75" customHeight="1" s="1" customFormat="1" x14ac:dyDescent="0.25"/>
    <row r="62" ht="15.75" customHeight="1" s="1" customFormat="1" x14ac:dyDescent="0.25"/>
    <row r="63" ht="15.75" customHeight="1" s="1" customFormat="1" x14ac:dyDescent="0.25"/>
    <row r="64" ht="15.75" customHeight="1" s="1" customFormat="1" x14ac:dyDescent="0.25"/>
    <row r="65" ht="15.75" customHeight="1" s="1" customFormat="1" x14ac:dyDescent="0.25"/>
    <row r="66" ht="15.75" customHeight="1" s="1" customFormat="1" x14ac:dyDescent="0.25"/>
    <row r="67" ht="15.75" customHeight="1" s="1" customFormat="1" x14ac:dyDescent="0.25"/>
    <row r="68" ht="15.75" customHeight="1" s="1" customFormat="1" x14ac:dyDescent="0.25"/>
    <row r="69" ht="15.75" customHeight="1" s="1" customFormat="1" x14ac:dyDescent="0.25"/>
    <row r="70" ht="15.75" customHeight="1" s="1" customFormat="1" x14ac:dyDescent="0.25"/>
    <row r="71" ht="15.75" customHeight="1" s="1" customFormat="1" x14ac:dyDescent="0.25"/>
    <row r="72" ht="15.75" customHeight="1" s="1" customFormat="1" x14ac:dyDescent="0.25"/>
    <row r="73" ht="15.75" customHeight="1" s="1" customFormat="1" x14ac:dyDescent="0.25"/>
    <row r="74" ht="15.75" customHeight="1" s="1" customFormat="1" x14ac:dyDescent="0.25"/>
    <row r="75" ht="15.75" customHeight="1" s="1" customFormat="1" x14ac:dyDescent="0.25"/>
    <row r="76" ht="15.75" customHeight="1" s="1" customFormat="1" x14ac:dyDescent="0.25"/>
    <row r="77" ht="15.75" customHeight="1" s="1" customFormat="1" x14ac:dyDescent="0.25"/>
    <row r="78" ht="15.75" customHeight="1" s="1" customFormat="1" x14ac:dyDescent="0.25"/>
    <row r="79" ht="15.75" customHeight="1" s="1" customFormat="1" x14ac:dyDescent="0.25"/>
    <row r="80" ht="15.75" customHeight="1" s="1" customFormat="1" x14ac:dyDescent="0.25"/>
    <row r="81" ht="15.75" customHeight="1" s="1" customFormat="1" x14ac:dyDescent="0.25"/>
    <row r="82" ht="15.75" customHeight="1" s="1" customFormat="1" x14ac:dyDescent="0.25"/>
    <row r="83" ht="15.75" customHeight="1" s="1" customFormat="1" x14ac:dyDescent="0.25"/>
    <row r="84" ht="15.75" customHeight="1" s="1" customFormat="1" x14ac:dyDescent="0.25"/>
    <row r="85" ht="15.75" customHeight="1" s="1" customFormat="1" x14ac:dyDescent="0.25"/>
    <row r="86" ht="15.75" customHeight="1" s="1" customFormat="1" x14ac:dyDescent="0.25"/>
    <row r="87" ht="15.75" customHeight="1" s="1" customFormat="1" x14ac:dyDescent="0.25"/>
    <row r="88" ht="15.75" customHeight="1" s="1" customFormat="1" x14ac:dyDescent="0.25"/>
    <row r="89" ht="15.75" customHeight="1" s="1" customFormat="1" x14ac:dyDescent="0.25"/>
    <row r="90" ht="15.75" customHeight="1" s="1" customFormat="1" x14ac:dyDescent="0.25"/>
    <row r="91" ht="15.75" customHeight="1" s="1" customFormat="1" x14ac:dyDescent="0.25"/>
    <row r="92" ht="15.75" customHeight="1" s="1" customFormat="1" x14ac:dyDescent="0.25"/>
    <row r="93" ht="15.75" customHeight="1" s="1" customFormat="1" x14ac:dyDescent="0.25"/>
    <row r="94" ht="15.75" customHeight="1" s="1" customFormat="1" x14ac:dyDescent="0.25"/>
    <row r="95" ht="15.75" customHeight="1" s="1" customFormat="1" x14ac:dyDescent="0.25"/>
    <row r="96" ht="15.75" customHeight="1" s="1" customFormat="1" x14ac:dyDescent="0.25"/>
    <row r="97" ht="15.75" customHeight="1" s="1" customFormat="1" x14ac:dyDescent="0.25"/>
    <row r="98" ht="15.75" customHeight="1" s="1" customFormat="1" x14ac:dyDescent="0.25"/>
    <row r="99" ht="15.75" customHeight="1" s="1" customFormat="1" x14ac:dyDescent="0.25"/>
    <row r="100" ht="15.75" customHeight="1" s="1" customFormat="1" x14ac:dyDescent="0.25"/>
    <row r="101" ht="15.75" customHeight="1" s="1" customFormat="1" x14ac:dyDescent="0.25"/>
    <row r="102" ht="15.75" customHeight="1" s="1" customFormat="1" x14ac:dyDescent="0.25"/>
    <row r="103" ht="15.75" customHeight="1" s="1" customFormat="1" x14ac:dyDescent="0.25"/>
    <row r="104" ht="15.75" customHeight="1" s="1" customFormat="1" x14ac:dyDescent="0.25"/>
    <row r="105" ht="15.75" customHeight="1" s="1" customFormat="1" x14ac:dyDescent="0.25"/>
    <row r="106" ht="15.75" customHeight="1" s="1" customFormat="1" x14ac:dyDescent="0.25"/>
    <row r="107" ht="15.75" customHeight="1" s="1" customFormat="1" x14ac:dyDescent="0.25"/>
    <row r="108" ht="15.75" customHeight="1" s="1" customFormat="1" x14ac:dyDescent="0.25"/>
    <row r="109" ht="15.75" customHeight="1" s="1" customFormat="1" x14ac:dyDescent="0.25"/>
    <row r="110" ht="15.75" customHeight="1" s="1" customFormat="1" x14ac:dyDescent="0.25"/>
    <row r="111" ht="15.75" customHeight="1" s="1" customFormat="1" x14ac:dyDescent="0.25"/>
    <row r="112" ht="15.75" customHeight="1" s="1" customFormat="1" x14ac:dyDescent="0.25"/>
    <row r="113" ht="15.75" customHeight="1" s="1" customFormat="1" x14ac:dyDescent="0.25"/>
    <row r="114" ht="15.75" customHeight="1" s="1" customFormat="1" x14ac:dyDescent="0.25"/>
    <row r="115" ht="15.75" customHeight="1" s="1" customFormat="1" x14ac:dyDescent="0.25"/>
    <row r="116" ht="15.75" customHeight="1" s="1" customFormat="1" x14ac:dyDescent="0.25"/>
    <row r="117" ht="15.75" customHeight="1" s="1" customFormat="1" x14ac:dyDescent="0.25"/>
    <row r="118" ht="15.75" customHeight="1" s="1" customFormat="1" x14ac:dyDescent="0.25"/>
    <row r="119" ht="15.75" customHeight="1" s="1" customFormat="1" x14ac:dyDescent="0.25"/>
    <row r="120" ht="15.75" customHeight="1" s="1" customFormat="1" x14ac:dyDescent="0.25"/>
    <row r="121" ht="15.75" customHeight="1" s="1" customFormat="1" x14ac:dyDescent="0.25"/>
    <row r="122" ht="15.75" customHeight="1" s="1" customFormat="1" x14ac:dyDescent="0.25"/>
    <row r="123" ht="15.75" customHeight="1" s="1" customFormat="1" x14ac:dyDescent="0.25"/>
    <row r="124" ht="15.75" customHeight="1" s="1" customFormat="1" x14ac:dyDescent="0.25"/>
    <row r="125" ht="15.75" customHeight="1" s="1" customFormat="1" x14ac:dyDescent="0.25"/>
    <row r="126" ht="15.75" customHeight="1" s="1" customFormat="1" x14ac:dyDescent="0.25"/>
    <row r="127" ht="15.75" customHeight="1" s="1" customFormat="1" x14ac:dyDescent="0.25"/>
    <row r="128" ht="15.75" customHeight="1" s="1" customFormat="1" x14ac:dyDescent="0.25"/>
    <row r="129" ht="15.75" customHeight="1" s="1" customFormat="1" x14ac:dyDescent="0.25"/>
    <row r="130" ht="15.75" customHeight="1" s="1" customFormat="1" x14ac:dyDescent="0.25"/>
    <row r="131" ht="15.75" customHeight="1" s="1" customFormat="1" x14ac:dyDescent="0.25"/>
    <row r="132" ht="15.75" customHeight="1" s="1" customFormat="1" x14ac:dyDescent="0.25"/>
    <row r="133" ht="15.75" customHeight="1" s="1" customFormat="1" x14ac:dyDescent="0.25"/>
    <row r="134" ht="15.75" customHeight="1" s="1" customFormat="1" x14ac:dyDescent="0.25"/>
    <row r="135" ht="15.75" customHeight="1" s="1" customFormat="1" x14ac:dyDescent="0.25"/>
    <row r="136" ht="15.75" customHeight="1" s="1" customFormat="1" x14ac:dyDescent="0.25"/>
    <row r="137" ht="15.75" customHeight="1" s="1" customFormat="1" x14ac:dyDescent="0.25"/>
    <row r="138" ht="15.75" customHeight="1" s="1" customFormat="1" x14ac:dyDescent="0.25"/>
    <row r="139" ht="15.75" customHeight="1" s="1" customFormat="1" x14ac:dyDescent="0.25"/>
    <row r="140" ht="15.75" customHeight="1" s="1" customFormat="1" x14ac:dyDescent="0.25"/>
    <row r="141" ht="15.75" customHeight="1" s="1" customFormat="1" x14ac:dyDescent="0.25"/>
    <row r="142" ht="15.75" customHeight="1" s="1" customFormat="1" x14ac:dyDescent="0.25"/>
    <row r="143" ht="15.75" customHeight="1" s="1" customFormat="1" x14ac:dyDescent="0.25"/>
    <row r="144" ht="15.75" customHeight="1" s="1" customFormat="1" x14ac:dyDescent="0.25"/>
    <row r="145" ht="15.75" customHeight="1" s="1" customFormat="1" x14ac:dyDescent="0.25"/>
    <row r="146" ht="15.75" customHeight="1" s="1" customFormat="1" x14ac:dyDescent="0.25"/>
    <row r="147" ht="15.75" customHeight="1" s="1" customFormat="1" x14ac:dyDescent="0.25"/>
    <row r="148" ht="15.75" customHeight="1" s="1" customFormat="1" x14ac:dyDescent="0.25"/>
    <row r="149" ht="15.75" customHeight="1" s="1" customFormat="1" x14ac:dyDescent="0.25"/>
    <row r="150" ht="15.75" customHeight="1" s="1" customFormat="1" x14ac:dyDescent="0.25"/>
    <row r="151" ht="15.75" customHeight="1" s="1" customFormat="1" x14ac:dyDescent="0.25"/>
    <row r="152" ht="15.75" customHeight="1" s="1" customFormat="1" x14ac:dyDescent="0.25"/>
    <row r="153" ht="15.75" customHeight="1" s="1" customFormat="1" x14ac:dyDescent="0.25"/>
    <row r="154" ht="15.75" customHeight="1" s="1" customFormat="1" x14ac:dyDescent="0.25"/>
    <row r="155" ht="15.75" customHeight="1" s="1" customFormat="1" x14ac:dyDescent="0.25"/>
    <row r="156" ht="15.75" customHeight="1" s="1" customFormat="1" x14ac:dyDescent="0.25"/>
    <row r="157" ht="15.75" customHeight="1" s="1" customFormat="1" x14ac:dyDescent="0.25"/>
    <row r="158" ht="15.75" customHeight="1" s="1" customFormat="1" x14ac:dyDescent="0.25"/>
    <row r="159" ht="15.75" customHeight="1" s="1" customFormat="1" x14ac:dyDescent="0.25"/>
    <row r="160" ht="15.75" customHeight="1" s="1" customFormat="1" x14ac:dyDescent="0.25"/>
    <row r="161" ht="15.75" customHeight="1" s="1" customFormat="1" x14ac:dyDescent="0.25"/>
    <row r="162" ht="15.75" customHeight="1" s="1" customFormat="1" x14ac:dyDescent="0.25"/>
    <row r="163" ht="15.75" customHeight="1" s="1" customFormat="1" x14ac:dyDescent="0.25"/>
    <row r="164" ht="15.75" customHeight="1" s="1" customFormat="1" x14ac:dyDescent="0.25"/>
    <row r="165" ht="15.75" customHeight="1" s="1" customFormat="1" x14ac:dyDescent="0.25"/>
    <row r="166" ht="15.75" customHeight="1" s="1" customFormat="1" x14ac:dyDescent="0.25"/>
    <row r="167" ht="15.75" customHeight="1" s="1" customFormat="1" x14ac:dyDescent="0.25"/>
    <row r="168" ht="15.75" customHeight="1" s="1" customFormat="1" x14ac:dyDescent="0.25"/>
    <row r="169" ht="15.75" customHeight="1" s="1" customFormat="1" x14ac:dyDescent="0.25"/>
    <row r="170" ht="15.75" customHeight="1" s="1" customFormat="1" x14ac:dyDescent="0.25"/>
    <row r="171" ht="15.75" customHeight="1" s="1" customFormat="1" x14ac:dyDescent="0.25"/>
    <row r="172" ht="15.75" customHeight="1" s="1" customFormat="1" x14ac:dyDescent="0.25"/>
    <row r="173" ht="15.75" customHeight="1" s="1" customFormat="1" x14ac:dyDescent="0.25"/>
    <row r="174" ht="15.75" customHeight="1" s="1" customFormat="1" x14ac:dyDescent="0.25"/>
    <row r="175" ht="15.75" customHeight="1" s="1" customFormat="1" x14ac:dyDescent="0.25"/>
    <row r="176" ht="15.75" customHeight="1" s="1" customFormat="1" x14ac:dyDescent="0.25"/>
    <row r="177" ht="15.75" customHeight="1" s="1" customFormat="1" x14ac:dyDescent="0.25"/>
    <row r="178" ht="15.75" customHeight="1" s="1" customFormat="1" x14ac:dyDescent="0.25"/>
    <row r="179" ht="15.75" customHeight="1" s="1" customFormat="1" x14ac:dyDescent="0.25"/>
    <row r="180" ht="15.75" customHeight="1" s="1" customFormat="1" x14ac:dyDescent="0.25"/>
    <row r="181" ht="15.75" customHeight="1" s="1" customFormat="1" x14ac:dyDescent="0.25"/>
    <row r="182" ht="15.75" customHeight="1" s="1" customFormat="1" x14ac:dyDescent="0.25"/>
    <row r="183" ht="15.75" customHeight="1" s="1" customFormat="1" x14ac:dyDescent="0.25"/>
    <row r="184" ht="15.75" customHeight="1" s="1" customFormat="1" x14ac:dyDescent="0.25"/>
    <row r="185" ht="15.75" customHeight="1" s="1" customFormat="1" x14ac:dyDescent="0.25"/>
    <row r="186" ht="15.75" customHeight="1" s="1" customFormat="1" x14ac:dyDescent="0.25"/>
    <row r="187" ht="15.75" customHeight="1" s="1" customFormat="1" x14ac:dyDescent="0.25"/>
    <row r="188" ht="15.75" customHeight="1" s="1" customFormat="1" x14ac:dyDescent="0.25"/>
    <row r="189" ht="15.75" customHeight="1" s="1" customFormat="1" x14ac:dyDescent="0.25"/>
    <row r="190" ht="15.75" customHeight="1" s="1" customFormat="1" x14ac:dyDescent="0.25"/>
    <row r="191" ht="15.75" customHeight="1" s="1" customFormat="1" x14ac:dyDescent="0.25"/>
    <row r="192" ht="15.75" customHeight="1" s="1" customFormat="1" x14ac:dyDescent="0.25"/>
    <row r="193" ht="15.75" customHeight="1" s="1" customFormat="1" x14ac:dyDescent="0.25"/>
    <row r="194" ht="15.75" customHeight="1" s="1" customFormat="1" x14ac:dyDescent="0.25"/>
    <row r="195" ht="15.75" customHeight="1" s="1" customFormat="1" x14ac:dyDescent="0.25"/>
    <row r="196" ht="15.75" customHeight="1" s="1" customFormat="1" x14ac:dyDescent="0.25"/>
    <row r="197" ht="15.75" customHeight="1" s="1" customFormat="1" x14ac:dyDescent="0.25"/>
    <row r="198" ht="15.75" customHeight="1" s="1" customFormat="1" x14ac:dyDescent="0.25"/>
    <row r="199" ht="15.75" customHeight="1" s="1" customFormat="1" x14ac:dyDescent="0.25"/>
    <row r="200" ht="15.75" customHeight="1" s="1" customFormat="1" x14ac:dyDescent="0.25"/>
    <row r="201" ht="15.75" customHeight="1" s="1" customFormat="1" x14ac:dyDescent="0.25"/>
    <row r="202" ht="15.75" customHeight="1" s="1" customFormat="1" x14ac:dyDescent="0.25"/>
    <row r="203" ht="15.75" customHeight="1" s="1" customFormat="1" x14ac:dyDescent="0.25"/>
    <row r="204" ht="15.75" customHeight="1" s="1" customFormat="1" x14ac:dyDescent="0.25"/>
    <row r="205" ht="15.75" customHeight="1" s="1" customFormat="1" x14ac:dyDescent="0.25"/>
    <row r="206" ht="15.75" customHeight="1" s="1" customFormat="1" x14ac:dyDescent="0.25"/>
    <row r="207" ht="15.75" customHeight="1" s="1" customFormat="1" x14ac:dyDescent="0.25"/>
    <row r="208" ht="15.75" customHeight="1" s="1" customFormat="1" x14ac:dyDescent="0.25"/>
    <row r="209" ht="15.75" customHeight="1" s="1" customFormat="1" x14ac:dyDescent="0.25"/>
    <row r="210" ht="15.75" customHeight="1" s="1" customFormat="1" x14ac:dyDescent="0.25"/>
    <row r="211" ht="15.75" customHeight="1" s="1" customFormat="1" x14ac:dyDescent="0.25"/>
    <row r="212" ht="15.75" customHeight="1" s="1" customFormat="1" x14ac:dyDescent="0.25"/>
    <row r="213" ht="15.75" customHeight="1" s="1" customFormat="1" x14ac:dyDescent="0.25"/>
    <row r="214" ht="15.75" customHeight="1" s="1" customFormat="1" x14ac:dyDescent="0.25"/>
    <row r="215" ht="15.75" customHeight="1" s="1" customFormat="1" x14ac:dyDescent="0.25"/>
    <row r="216" ht="15.75" customHeight="1" s="1" customFormat="1" x14ac:dyDescent="0.25"/>
    <row r="217" ht="15.75" customHeight="1" s="1" customFormat="1" x14ac:dyDescent="0.25"/>
    <row r="218" ht="15.75" customHeight="1" s="1" customFormat="1" x14ac:dyDescent="0.25"/>
    <row r="219" ht="15.75" customHeight="1" s="1" customFormat="1" x14ac:dyDescent="0.25"/>
    <row r="220" ht="15.75" customHeight="1" s="1" customFormat="1" x14ac:dyDescent="0.25"/>
    <row r="221" ht="15.75" customHeight="1" s="1" customFormat="1" x14ac:dyDescent="0.25"/>
    <row r="222" ht="15.75" customHeight="1" s="1" customFormat="1" x14ac:dyDescent="0.25"/>
    <row r="223" ht="15.75" customHeight="1" s="1" customFormat="1" x14ac:dyDescent="0.25"/>
    <row r="224" ht="15.75" customHeight="1" s="1" customFormat="1" x14ac:dyDescent="0.25"/>
    <row r="225" ht="15.75" customHeight="1" s="1" customFormat="1" x14ac:dyDescent="0.25"/>
    <row r="226" ht="15.75" customHeight="1" s="1" customFormat="1" x14ac:dyDescent="0.25"/>
    <row r="227" ht="15.75" customHeight="1" s="1" customFormat="1" x14ac:dyDescent="0.25"/>
    <row r="228" ht="15.75" customHeight="1" s="1" customFormat="1" x14ac:dyDescent="0.25"/>
    <row r="229" ht="15.75" customHeight="1" s="1" customFormat="1" x14ac:dyDescent="0.25"/>
    <row r="230" ht="15.75" customHeight="1" s="1" customFormat="1" x14ac:dyDescent="0.25"/>
    <row r="231" ht="15.75" customHeight="1" s="1" customFormat="1" x14ac:dyDescent="0.25"/>
    <row r="232" ht="15.75" customHeight="1" s="1" customFormat="1" x14ac:dyDescent="0.25"/>
    <row r="233" ht="15.75" customHeight="1" s="1" customFormat="1" x14ac:dyDescent="0.25"/>
    <row r="234" ht="15.75" customHeight="1" s="1" customFormat="1" x14ac:dyDescent="0.25"/>
    <row r="235" ht="15.75" customHeight="1" s="1" customFormat="1" x14ac:dyDescent="0.25"/>
    <row r="236" ht="15.75" customHeight="1" s="1" customFormat="1" x14ac:dyDescent="0.25"/>
    <row r="237" ht="15.75" customHeight="1" s="1" customFormat="1" x14ac:dyDescent="0.25"/>
    <row r="238" ht="15.75" customHeight="1" s="1" customFormat="1" x14ac:dyDescent="0.25"/>
    <row r="239" ht="15.75" customHeight="1" s="1" customFormat="1" x14ac:dyDescent="0.25"/>
    <row r="240" ht="15.75" customHeight="1" s="1" customFormat="1" x14ac:dyDescent="0.25"/>
    <row r="241" ht="15.75" customHeight="1" s="1" customFormat="1" x14ac:dyDescent="0.25"/>
    <row r="242" ht="15.75" customHeight="1" s="1" customFormat="1" x14ac:dyDescent="0.25"/>
    <row r="243" ht="15.75" customHeight="1" s="1" customFormat="1" x14ac:dyDescent="0.25"/>
    <row r="244" ht="15.75" customHeight="1" s="1" customFormat="1" x14ac:dyDescent="0.25"/>
    <row r="245" ht="15.75" customHeight="1" s="1" customFormat="1" x14ac:dyDescent="0.25"/>
    <row r="246" ht="15.75" customHeight="1" s="1" customFormat="1" x14ac:dyDescent="0.25"/>
    <row r="247" ht="15.75" customHeight="1" s="1" customFormat="1" x14ac:dyDescent="0.25"/>
    <row r="248" ht="15.75" customHeight="1" s="1" customFormat="1" x14ac:dyDescent="0.25"/>
    <row r="249" ht="15.75" customHeight="1" s="1" customFormat="1" x14ac:dyDescent="0.25"/>
    <row r="250" ht="15.75" customHeight="1" s="1" customFormat="1" x14ac:dyDescent="0.25"/>
    <row r="251" ht="15.75" customHeight="1" s="1" customFormat="1" x14ac:dyDescent="0.25"/>
    <row r="252" ht="15.75" customHeight="1" s="1" customFormat="1" x14ac:dyDescent="0.25"/>
    <row r="253" ht="15.75" customHeight="1" s="1" customFormat="1" x14ac:dyDescent="0.25"/>
    <row r="254" ht="15.75" customHeight="1" s="1" customFormat="1" x14ac:dyDescent="0.25"/>
    <row r="255" ht="15.75" customHeight="1" s="1" customFormat="1" x14ac:dyDescent="0.25"/>
    <row r="256" ht="15.75" customHeight="1" s="1" customFormat="1" x14ac:dyDescent="0.25"/>
    <row r="257" ht="15.75" customHeight="1" s="1" customFormat="1" x14ac:dyDescent="0.25"/>
    <row r="258" ht="15.75" customHeight="1" s="1" customFormat="1" x14ac:dyDescent="0.25"/>
    <row r="259" ht="15.75" customHeight="1" s="1" customFormat="1" x14ac:dyDescent="0.25"/>
    <row r="260" ht="15.75" customHeight="1" s="1" customFormat="1" x14ac:dyDescent="0.25"/>
    <row r="261" ht="15.75" customHeight="1" s="1" customFormat="1" x14ac:dyDescent="0.25"/>
    <row r="262" ht="15.75" customHeight="1" s="1" customFormat="1" x14ac:dyDescent="0.25"/>
    <row r="263" ht="15.75" customHeight="1" s="1" customFormat="1" x14ac:dyDescent="0.25"/>
    <row r="264" ht="15.75" customHeight="1" s="1" customFormat="1" x14ac:dyDescent="0.25"/>
    <row r="265" ht="15.75" customHeight="1" s="1" customFormat="1" x14ac:dyDescent="0.25"/>
    <row r="266" ht="15.75" customHeight="1" s="1" customFormat="1" x14ac:dyDescent="0.25"/>
    <row r="267" ht="15.75" customHeight="1" s="1" customFormat="1" x14ac:dyDescent="0.25"/>
    <row r="268" ht="15.75" customHeight="1" s="1" customFormat="1" x14ac:dyDescent="0.25"/>
    <row r="269" ht="15.75" customHeight="1" s="1" customFormat="1" x14ac:dyDescent="0.25"/>
    <row r="270" ht="15.75" customHeight="1" s="1" customFormat="1" x14ac:dyDescent="0.25"/>
    <row r="271" ht="15.75" customHeight="1" s="1" customFormat="1" x14ac:dyDescent="0.25"/>
    <row r="272" ht="15.75" customHeight="1" s="1" customFormat="1" x14ac:dyDescent="0.25"/>
    <row r="273" ht="15.75" customHeight="1" s="1" customFormat="1" x14ac:dyDescent="0.25"/>
    <row r="274" ht="15.75" customHeight="1" s="1" customFormat="1" x14ac:dyDescent="0.25"/>
    <row r="275" ht="15.75" customHeight="1" s="1" customFormat="1" x14ac:dyDescent="0.25"/>
    <row r="276" ht="15.75" customHeight="1" s="1" customFormat="1" x14ac:dyDescent="0.25"/>
    <row r="277" ht="15.75" customHeight="1" s="1" customFormat="1" x14ac:dyDescent="0.25"/>
    <row r="278" ht="15.75" customHeight="1" s="1" customFormat="1" x14ac:dyDescent="0.25"/>
    <row r="279" ht="15.75" customHeight="1" s="1" customFormat="1" x14ac:dyDescent="0.25"/>
    <row r="280" ht="15.75" customHeight="1" s="1" customFormat="1" x14ac:dyDescent="0.25"/>
    <row r="281" ht="15.75" customHeight="1" s="1" customFormat="1" x14ac:dyDescent="0.25"/>
    <row r="282" ht="15.75" customHeight="1" s="1" customFormat="1" x14ac:dyDescent="0.25"/>
    <row r="283" ht="15.75" customHeight="1" s="1" customFormat="1" x14ac:dyDescent="0.25"/>
    <row r="284" ht="15.75" customHeight="1" s="1" customFormat="1" x14ac:dyDescent="0.25"/>
    <row r="285" ht="15.75" customHeight="1" s="1" customFormat="1" x14ac:dyDescent="0.25"/>
    <row r="286" ht="15.75" customHeight="1" s="1" customFormat="1" x14ac:dyDescent="0.25"/>
    <row r="287" ht="15.75" customHeight="1" s="1" customFormat="1" x14ac:dyDescent="0.25"/>
    <row r="288" ht="15.75" customHeight="1" s="1" customFormat="1" x14ac:dyDescent="0.25"/>
    <row r="289" ht="15.75" customHeight="1" s="1" customFormat="1" x14ac:dyDescent="0.25"/>
    <row r="290" ht="15.75" customHeight="1" s="1" customFormat="1" x14ac:dyDescent="0.25"/>
    <row r="291" ht="15.75" customHeight="1" s="1" customFormat="1" x14ac:dyDescent="0.25"/>
    <row r="292" ht="15.75" customHeight="1" s="1" customFormat="1" x14ac:dyDescent="0.25"/>
    <row r="293" ht="15.75" customHeight="1" s="1" customFormat="1" x14ac:dyDescent="0.25"/>
    <row r="294" ht="15.75" customHeight="1" s="1" customFormat="1" x14ac:dyDescent="0.25"/>
    <row r="295" ht="15.75" customHeight="1" s="1" customFormat="1" x14ac:dyDescent="0.25"/>
    <row r="296" ht="15.75" customHeight="1" s="1" customFormat="1" x14ac:dyDescent="0.25"/>
    <row r="297" ht="15.75" customHeight="1" s="1" customFormat="1" x14ac:dyDescent="0.25"/>
    <row r="298" ht="15.75" customHeight="1" s="1" customFormat="1" x14ac:dyDescent="0.25"/>
    <row r="299" ht="15.75" customHeight="1" s="1" customFormat="1" x14ac:dyDescent="0.25"/>
    <row r="300" ht="15.75" customHeight="1" s="1" customFormat="1" x14ac:dyDescent="0.25"/>
    <row r="301" ht="15.75" customHeight="1" s="1" customFormat="1" x14ac:dyDescent="0.25"/>
    <row r="302" ht="15.75" customHeight="1" s="1" customFormat="1" x14ac:dyDescent="0.25"/>
    <row r="303" ht="15.75" customHeight="1" s="1" customFormat="1" x14ac:dyDescent="0.25"/>
    <row r="304" ht="15.75" customHeight="1" s="1" customFormat="1" x14ac:dyDescent="0.25"/>
    <row r="305" ht="15.75" customHeight="1" s="1" customFormat="1" x14ac:dyDescent="0.25"/>
    <row r="306" ht="15.75" customHeight="1" s="1" customFormat="1" x14ac:dyDescent="0.25"/>
    <row r="307" ht="15.75" customHeight="1" s="1" customFormat="1" x14ac:dyDescent="0.25"/>
    <row r="308" ht="15.75" customHeight="1" s="1" customFormat="1" x14ac:dyDescent="0.25"/>
    <row r="309" ht="15.75" customHeight="1" s="1" customFormat="1" x14ac:dyDescent="0.25"/>
    <row r="310" ht="15.75" customHeight="1" s="1" customFormat="1" x14ac:dyDescent="0.25"/>
    <row r="311" ht="15.75" customHeight="1" s="1" customFormat="1" x14ac:dyDescent="0.25"/>
    <row r="312" ht="15.75" customHeight="1" s="1" customFormat="1" x14ac:dyDescent="0.25"/>
    <row r="313" ht="15.75" customHeight="1" s="1" customFormat="1" x14ac:dyDescent="0.25"/>
    <row r="314" ht="15.75" customHeight="1" s="1" customFormat="1" x14ac:dyDescent="0.25"/>
    <row r="315" ht="15.75" customHeight="1" s="1" customFormat="1" x14ac:dyDescent="0.25"/>
    <row r="316" ht="15.75" customHeight="1" s="1" customFormat="1" x14ac:dyDescent="0.25"/>
    <row r="317" ht="15.75" customHeight="1" s="1" customFormat="1" x14ac:dyDescent="0.25"/>
    <row r="318" ht="15.75" customHeight="1" s="1" customFormat="1" x14ac:dyDescent="0.25"/>
    <row r="319" ht="15.75" customHeight="1" s="1" customFormat="1" x14ac:dyDescent="0.25"/>
    <row r="320" ht="15.75" customHeight="1" s="1" customFormat="1" x14ac:dyDescent="0.25"/>
    <row r="321" ht="15.75" customHeight="1" s="1" customFormat="1" x14ac:dyDescent="0.25"/>
    <row r="322" ht="15.75" customHeight="1" s="1" customFormat="1" x14ac:dyDescent="0.25"/>
    <row r="323" ht="15.75" customHeight="1" s="1" customFormat="1" x14ac:dyDescent="0.25"/>
    <row r="324" ht="15.75" customHeight="1" s="1" customFormat="1" x14ac:dyDescent="0.25"/>
    <row r="325" ht="15.75" customHeight="1" s="1" customFormat="1" x14ac:dyDescent="0.25"/>
    <row r="326" ht="15.75" customHeight="1" s="1" customFormat="1" x14ac:dyDescent="0.25"/>
    <row r="327" ht="15.75" customHeight="1" s="1" customFormat="1" x14ac:dyDescent="0.25"/>
    <row r="328" ht="15.75" customHeight="1" s="1" customFormat="1" x14ac:dyDescent="0.25"/>
    <row r="329" ht="15.75" customHeight="1" s="1" customFormat="1" x14ac:dyDescent="0.25"/>
    <row r="330" ht="15.75" customHeight="1" s="1" customFormat="1" x14ac:dyDescent="0.25"/>
    <row r="331" ht="15.75" customHeight="1" s="1" customFormat="1" x14ac:dyDescent="0.25"/>
    <row r="332" ht="15.75" customHeight="1" s="1" customFormat="1" x14ac:dyDescent="0.25"/>
    <row r="333" ht="15.75" customHeight="1" s="1" customFormat="1" x14ac:dyDescent="0.25"/>
    <row r="334" ht="15.75" customHeight="1" s="1" customFormat="1" x14ac:dyDescent="0.25"/>
    <row r="335" ht="15.75" customHeight="1" s="1" customFormat="1" x14ac:dyDescent="0.25"/>
    <row r="336" ht="15.75" customHeight="1" s="1" customFormat="1" x14ac:dyDescent="0.25"/>
    <row r="337" ht="15.75" customHeight="1" s="1" customFormat="1" x14ac:dyDescent="0.25"/>
    <row r="338" ht="15.75" customHeight="1" s="1" customFormat="1" x14ac:dyDescent="0.25"/>
    <row r="339" ht="15.75" customHeight="1" s="1" customFormat="1" x14ac:dyDescent="0.25"/>
    <row r="340" ht="15.75" customHeight="1" s="1" customFormat="1" x14ac:dyDescent="0.25"/>
    <row r="341" ht="15.75" customHeight="1" s="1" customFormat="1" x14ac:dyDescent="0.25"/>
    <row r="342" ht="15.75" customHeight="1" s="1" customFormat="1" x14ac:dyDescent="0.25"/>
    <row r="343" ht="15.75" customHeight="1" s="1" customFormat="1" x14ac:dyDescent="0.25"/>
    <row r="344" ht="15.75" customHeight="1" s="1" customFormat="1" x14ac:dyDescent="0.25"/>
    <row r="345" ht="15.75" customHeight="1" s="1" customFormat="1" x14ac:dyDescent="0.25"/>
    <row r="346" ht="15.75" customHeight="1" s="1" customFormat="1" x14ac:dyDescent="0.25"/>
    <row r="347" ht="15.75" customHeight="1" s="1" customFormat="1" x14ac:dyDescent="0.25"/>
    <row r="348" ht="15.75" customHeight="1" s="1" customFormat="1" x14ac:dyDescent="0.25"/>
    <row r="349" ht="15.75" customHeight="1" s="1" customFormat="1" x14ac:dyDescent="0.25"/>
    <row r="350" ht="15.75" customHeight="1" s="1" customFormat="1" x14ac:dyDescent="0.25"/>
    <row r="351" ht="15.75" customHeight="1" s="1" customFormat="1" x14ac:dyDescent="0.25"/>
    <row r="352" ht="15.75" customHeight="1" s="1" customFormat="1" x14ac:dyDescent="0.25"/>
    <row r="353" ht="15.75" customHeight="1" s="1" customFormat="1" x14ac:dyDescent="0.25"/>
    <row r="354" ht="15.75" customHeight="1" s="1" customFormat="1" x14ac:dyDescent="0.25"/>
    <row r="355" ht="15.75" customHeight="1" s="1" customFormat="1" x14ac:dyDescent="0.25"/>
    <row r="356" ht="15.75" customHeight="1" s="1" customFormat="1" x14ac:dyDescent="0.25"/>
    <row r="357" ht="15.75" customHeight="1" s="1" customFormat="1" x14ac:dyDescent="0.25"/>
    <row r="358" ht="15.75" customHeight="1" s="1" customFormat="1" x14ac:dyDescent="0.25"/>
    <row r="359" ht="15.75" customHeight="1" s="1" customFormat="1" x14ac:dyDescent="0.25"/>
    <row r="360" ht="15.75" customHeight="1" s="1" customFormat="1" x14ac:dyDescent="0.25"/>
    <row r="361" ht="15.75" customHeight="1" s="1" customFormat="1" x14ac:dyDescent="0.25"/>
    <row r="362" ht="15.75" customHeight="1" s="1" customFormat="1" x14ac:dyDescent="0.25"/>
    <row r="363" ht="15.75" customHeight="1" s="1" customFormat="1" x14ac:dyDescent="0.25"/>
    <row r="364" ht="15.75" customHeight="1" s="1" customFormat="1" x14ac:dyDescent="0.25"/>
    <row r="365" ht="15.75" customHeight="1" s="1" customFormat="1" x14ac:dyDescent="0.25"/>
    <row r="366" ht="15.75" customHeight="1" s="1" customFormat="1" x14ac:dyDescent="0.25"/>
    <row r="367" ht="15.75" customHeight="1" s="1" customFormat="1" x14ac:dyDescent="0.25"/>
    <row r="368" ht="15.75" customHeight="1" s="1" customFormat="1" x14ac:dyDescent="0.25"/>
    <row r="369" ht="15.75" customHeight="1" s="1" customFormat="1" x14ac:dyDescent="0.25"/>
    <row r="370" ht="15.75" customHeight="1" s="1" customFormat="1" x14ac:dyDescent="0.25"/>
    <row r="371" ht="15.75" customHeight="1" s="1" customFormat="1" x14ac:dyDescent="0.25"/>
    <row r="372" ht="15.75" customHeight="1" s="1" customFormat="1" x14ac:dyDescent="0.25"/>
    <row r="373" ht="15.75" customHeight="1" s="1" customFormat="1" x14ac:dyDescent="0.25"/>
    <row r="374" ht="15.75" customHeight="1" s="1" customFormat="1" x14ac:dyDescent="0.25"/>
    <row r="375" ht="15.75" customHeight="1" s="1" customFormat="1" x14ac:dyDescent="0.25"/>
    <row r="376" ht="15.75" customHeight="1" s="1" customFormat="1" x14ac:dyDescent="0.25"/>
    <row r="377" ht="15.75" customHeight="1" s="1" customFormat="1" x14ac:dyDescent="0.25"/>
    <row r="378" ht="15.75" customHeight="1" s="1" customFormat="1" x14ac:dyDescent="0.25"/>
    <row r="379" ht="15.75" customHeight="1" s="1" customFormat="1" x14ac:dyDescent="0.25"/>
    <row r="380" ht="15.75" customHeight="1" s="1" customFormat="1" x14ac:dyDescent="0.25"/>
    <row r="381" ht="15.75" customHeight="1" s="1" customFormat="1" x14ac:dyDescent="0.25"/>
    <row r="382" ht="15.75" customHeight="1" s="1" customFormat="1" x14ac:dyDescent="0.25"/>
    <row r="383" ht="15.75" customHeight="1" s="1" customFormat="1" x14ac:dyDescent="0.25"/>
    <row r="384" ht="15.75" customHeight="1" s="1" customFormat="1" x14ac:dyDescent="0.25"/>
    <row r="385" ht="15.75" customHeight="1" s="1" customFormat="1" x14ac:dyDescent="0.25"/>
    <row r="386" ht="15.75" customHeight="1" s="1" customFormat="1" x14ac:dyDescent="0.25"/>
    <row r="387" ht="15.75" customHeight="1" s="1" customFormat="1" x14ac:dyDescent="0.25"/>
    <row r="388" ht="15.75" customHeight="1" s="1" customFormat="1" x14ac:dyDescent="0.25"/>
    <row r="389" ht="15.75" customHeight="1" s="1" customFormat="1" x14ac:dyDescent="0.25"/>
    <row r="390" ht="15.75" customHeight="1" s="1" customFormat="1" x14ac:dyDescent="0.25"/>
    <row r="391" ht="15.75" customHeight="1" s="1" customFormat="1" x14ac:dyDescent="0.25"/>
    <row r="392" ht="15.75" customHeight="1" s="1" customFormat="1" x14ac:dyDescent="0.25"/>
    <row r="393" ht="15.75" customHeight="1" s="1" customFormat="1" x14ac:dyDescent="0.25"/>
    <row r="394" ht="15.75" customHeight="1" s="1" customFormat="1" x14ac:dyDescent="0.25"/>
    <row r="395" ht="15.75" customHeight="1" s="1" customFormat="1" x14ac:dyDescent="0.25"/>
    <row r="396" ht="15.75" customHeight="1" s="1" customFormat="1" x14ac:dyDescent="0.25"/>
    <row r="397" ht="15.75" customHeight="1" s="1" customFormat="1" x14ac:dyDescent="0.25"/>
    <row r="398" ht="15.75" customHeight="1" s="1" customFormat="1" x14ac:dyDescent="0.25"/>
    <row r="399" ht="15.75" customHeight="1" s="1" customFormat="1" x14ac:dyDescent="0.25"/>
    <row r="400" ht="15.75" customHeight="1" s="1" customFormat="1" x14ac:dyDescent="0.25"/>
    <row r="401" ht="15.75" customHeight="1" s="1" customFormat="1" x14ac:dyDescent="0.25"/>
    <row r="402" ht="15.75" customHeight="1" s="1" customFormat="1" x14ac:dyDescent="0.25"/>
    <row r="403" ht="15.75" customHeight="1" s="1" customFormat="1" x14ac:dyDescent="0.25"/>
    <row r="404" ht="15.75" customHeight="1" s="1" customFormat="1" x14ac:dyDescent="0.25"/>
    <row r="405" ht="15.75" customHeight="1" s="1" customFormat="1" x14ac:dyDescent="0.25"/>
    <row r="406" ht="15.75" customHeight="1" s="1" customFormat="1" x14ac:dyDescent="0.25"/>
    <row r="407" ht="15.75" customHeight="1" s="1" customFormat="1" x14ac:dyDescent="0.25"/>
    <row r="408" ht="15.75" customHeight="1" s="1" customFormat="1" x14ac:dyDescent="0.25"/>
    <row r="409" ht="15.75" customHeight="1" s="1" customFormat="1" x14ac:dyDescent="0.25"/>
    <row r="410" ht="15.75" customHeight="1" s="1" customFormat="1" x14ac:dyDescent="0.25"/>
    <row r="411" ht="15.75" customHeight="1" s="1" customFormat="1" x14ac:dyDescent="0.25"/>
    <row r="412" ht="15.75" customHeight="1" s="1" customFormat="1" x14ac:dyDescent="0.25"/>
    <row r="413" ht="15.75" customHeight="1" s="1" customFormat="1" x14ac:dyDescent="0.25"/>
    <row r="414" ht="15.75" customHeight="1" s="1" customFormat="1" x14ac:dyDescent="0.25"/>
    <row r="415" ht="15.75" customHeight="1" s="1" customFormat="1" x14ac:dyDescent="0.25"/>
    <row r="416" ht="15.75" customHeight="1" s="1" customFormat="1" x14ac:dyDescent="0.25"/>
    <row r="417" ht="15.75" customHeight="1" s="1" customFormat="1" x14ac:dyDescent="0.25"/>
    <row r="418" ht="15.75" customHeight="1" s="1" customFormat="1" x14ac:dyDescent="0.25"/>
    <row r="419" ht="15.75" customHeight="1" s="1" customFormat="1" x14ac:dyDescent="0.25"/>
    <row r="420" ht="15.75" customHeight="1" s="1" customFormat="1" x14ac:dyDescent="0.25"/>
    <row r="421" ht="15.75" customHeight="1" s="1" customFormat="1" x14ac:dyDescent="0.25"/>
    <row r="422" ht="15.75" customHeight="1" s="1" customFormat="1" x14ac:dyDescent="0.25"/>
    <row r="423" ht="15.75" customHeight="1" s="1" customFormat="1" x14ac:dyDescent="0.25"/>
    <row r="424" ht="15.75" customHeight="1" s="1" customFormat="1" x14ac:dyDescent="0.25"/>
    <row r="425" ht="15.75" customHeight="1" s="1" customFormat="1" x14ac:dyDescent="0.25"/>
    <row r="426" ht="15.75" customHeight="1" s="1" customFormat="1" x14ac:dyDescent="0.25"/>
    <row r="427" ht="15.75" customHeight="1" s="1" customFormat="1" x14ac:dyDescent="0.25"/>
    <row r="428" ht="15.75" customHeight="1" s="1" customFormat="1" x14ac:dyDescent="0.25"/>
    <row r="429" ht="15.75" customHeight="1" s="1" customFormat="1" x14ac:dyDescent="0.25"/>
    <row r="430" ht="15.75" customHeight="1" s="1" customFormat="1" x14ac:dyDescent="0.25"/>
    <row r="431" ht="15.75" customHeight="1" s="1" customFormat="1" x14ac:dyDescent="0.25"/>
    <row r="432" ht="15.75" customHeight="1" s="1" customFormat="1" x14ac:dyDescent="0.25"/>
    <row r="433" ht="15.75" customHeight="1" s="1" customFormat="1" x14ac:dyDescent="0.25"/>
    <row r="434" ht="15.75" customHeight="1" s="1" customFormat="1" x14ac:dyDescent="0.25"/>
    <row r="435" ht="15.75" customHeight="1" s="1" customFormat="1" x14ac:dyDescent="0.25"/>
    <row r="436" ht="15.75" customHeight="1" s="1" customFormat="1" x14ac:dyDescent="0.25"/>
    <row r="437" ht="15.75" customHeight="1" s="1" customFormat="1" x14ac:dyDescent="0.25"/>
    <row r="438" ht="15.75" customHeight="1" s="1" customFormat="1" x14ac:dyDescent="0.25"/>
    <row r="439" ht="15.75" customHeight="1" s="1" customFormat="1" x14ac:dyDescent="0.25"/>
    <row r="440" ht="15.75" customHeight="1" s="1" customFormat="1" x14ac:dyDescent="0.25"/>
    <row r="441" ht="15.75" customHeight="1" s="1" customFormat="1" x14ac:dyDescent="0.25"/>
    <row r="442" ht="15.75" customHeight="1" s="1" customFormat="1" x14ac:dyDescent="0.25"/>
    <row r="443" ht="15.75" customHeight="1" s="1" customFormat="1" x14ac:dyDescent="0.25"/>
    <row r="444" ht="15.75" customHeight="1" s="1" customFormat="1" x14ac:dyDescent="0.25"/>
    <row r="445" ht="15.75" customHeight="1" s="1" customFormat="1" x14ac:dyDescent="0.25"/>
    <row r="446" ht="15.75" customHeight="1" s="1" customFormat="1" x14ac:dyDescent="0.25"/>
    <row r="447" ht="15.75" customHeight="1" s="1" customFormat="1" x14ac:dyDescent="0.25"/>
    <row r="448" ht="15.75" customHeight="1" s="1" customFormat="1" x14ac:dyDescent="0.25"/>
    <row r="449" ht="15.75" customHeight="1" s="1" customFormat="1" x14ac:dyDescent="0.25"/>
    <row r="450" ht="15.75" customHeight="1" s="1" customFormat="1" x14ac:dyDescent="0.25"/>
    <row r="451" ht="15.75" customHeight="1" s="1" customFormat="1" x14ac:dyDescent="0.25"/>
    <row r="452" ht="15.75" customHeight="1" s="1" customFormat="1" x14ac:dyDescent="0.25"/>
    <row r="453" ht="15.75" customHeight="1" s="1" customFormat="1" x14ac:dyDescent="0.25"/>
    <row r="454" ht="15.75" customHeight="1" s="1" customFormat="1" x14ac:dyDescent="0.25"/>
    <row r="455" ht="15.75" customHeight="1" s="1" customFormat="1" x14ac:dyDescent="0.25"/>
    <row r="456" ht="15.75" customHeight="1" s="1" customFormat="1" x14ac:dyDescent="0.25"/>
    <row r="457" ht="15.75" customHeight="1" s="1" customFormat="1" x14ac:dyDescent="0.25"/>
    <row r="458" ht="15.75" customHeight="1" s="1" customFormat="1" x14ac:dyDescent="0.25"/>
    <row r="459" ht="15.75" customHeight="1" s="1" customFormat="1" x14ac:dyDescent="0.25"/>
    <row r="460" ht="15.75" customHeight="1" s="1" customFormat="1" x14ac:dyDescent="0.25"/>
    <row r="461" ht="15.75" customHeight="1" s="1" customFormat="1" x14ac:dyDescent="0.25"/>
    <row r="462" ht="15.75" customHeight="1" s="1" customFormat="1" x14ac:dyDescent="0.25"/>
    <row r="463" ht="15.75" customHeight="1" s="1" customFormat="1" x14ac:dyDescent="0.25"/>
    <row r="464" ht="15.75" customHeight="1" s="1" customFormat="1" x14ac:dyDescent="0.25"/>
    <row r="465" ht="15.75" customHeight="1" s="1" customFormat="1" x14ac:dyDescent="0.25"/>
    <row r="466" ht="15.75" customHeight="1" s="1" customFormat="1" x14ac:dyDescent="0.25"/>
    <row r="467" ht="15.75" customHeight="1" s="1" customFormat="1" x14ac:dyDescent="0.25"/>
    <row r="468" ht="15.75" customHeight="1" s="1" customFormat="1" x14ac:dyDescent="0.25"/>
    <row r="469" ht="15.75" customHeight="1" s="1" customFormat="1" x14ac:dyDescent="0.25"/>
    <row r="470" ht="15.75" customHeight="1" s="1" customFormat="1" x14ac:dyDescent="0.25"/>
    <row r="471" ht="15.75" customHeight="1" s="1" customFormat="1" x14ac:dyDescent="0.25"/>
    <row r="472" ht="15.75" customHeight="1" s="1" customFormat="1" x14ac:dyDescent="0.25"/>
    <row r="473" ht="15.75" customHeight="1" s="1" customFormat="1" x14ac:dyDescent="0.25"/>
    <row r="474" ht="15.75" customHeight="1" s="1" customFormat="1" x14ac:dyDescent="0.25"/>
    <row r="475" ht="15.75" customHeight="1" s="1" customFormat="1" x14ac:dyDescent="0.25"/>
    <row r="476" ht="15.75" customHeight="1" s="1" customFormat="1" x14ac:dyDescent="0.25"/>
    <row r="477" ht="15.75" customHeight="1" s="1" customFormat="1" x14ac:dyDescent="0.25"/>
    <row r="478" ht="15.75" customHeight="1" s="1" customFormat="1" x14ac:dyDescent="0.25"/>
    <row r="479" ht="15.75" customHeight="1" s="1" customFormat="1" x14ac:dyDescent="0.25"/>
    <row r="480" ht="15.75" customHeight="1" s="1" customFormat="1" x14ac:dyDescent="0.25"/>
    <row r="481" ht="15.75" customHeight="1" s="1" customFormat="1" x14ac:dyDescent="0.25"/>
    <row r="482" ht="15.75" customHeight="1" s="1" customFormat="1" x14ac:dyDescent="0.25"/>
    <row r="483" ht="15.75" customHeight="1" s="1" customFormat="1" x14ac:dyDescent="0.25"/>
    <row r="484" ht="15.75" customHeight="1" s="1" customFormat="1" x14ac:dyDescent="0.25"/>
    <row r="485" ht="15.75" customHeight="1" s="1" customFormat="1" x14ac:dyDescent="0.25"/>
    <row r="486" ht="15.75" customHeight="1" s="1" customFormat="1" x14ac:dyDescent="0.25"/>
    <row r="487" ht="15.75" customHeight="1" s="1" customFormat="1" x14ac:dyDescent="0.25"/>
    <row r="488" ht="15.75" customHeight="1" s="1" customFormat="1" x14ac:dyDescent="0.25"/>
    <row r="489" ht="15.75" customHeight="1" s="1" customFormat="1" x14ac:dyDescent="0.25"/>
    <row r="490" ht="15.75" customHeight="1" s="1" customFormat="1" x14ac:dyDescent="0.25"/>
    <row r="491" ht="15.75" customHeight="1" s="1" customFormat="1" x14ac:dyDescent="0.25"/>
    <row r="492" ht="15.75" customHeight="1" s="1" customFormat="1" x14ac:dyDescent="0.25"/>
    <row r="493" ht="15.75" customHeight="1" s="1" customFormat="1" x14ac:dyDescent="0.25"/>
    <row r="494" ht="15.75" customHeight="1" s="1" customFormat="1" x14ac:dyDescent="0.25"/>
    <row r="495" ht="15.75" customHeight="1" s="1" customFormat="1" x14ac:dyDescent="0.25"/>
    <row r="496" ht="15.75" customHeight="1" s="1" customFormat="1" x14ac:dyDescent="0.25"/>
    <row r="497" ht="15.75" customHeight="1" s="1" customFormat="1" x14ac:dyDescent="0.25"/>
    <row r="498" ht="15.75" customHeight="1" s="1" customFormat="1" x14ac:dyDescent="0.25"/>
    <row r="499" ht="15.75" customHeight="1" s="1" customFormat="1" x14ac:dyDescent="0.25"/>
    <row r="500" ht="15.75" customHeight="1" s="1" customFormat="1" x14ac:dyDescent="0.25"/>
    <row r="501" ht="15.75" customHeight="1" s="1" customFormat="1" x14ac:dyDescent="0.25"/>
    <row r="502" ht="15.75" customHeight="1" s="1" customFormat="1" x14ac:dyDescent="0.25"/>
    <row r="503" ht="15.75" customHeight="1" s="1" customFormat="1" x14ac:dyDescent="0.25"/>
    <row r="504" ht="15.75" customHeight="1" s="1" customFormat="1" x14ac:dyDescent="0.25"/>
    <row r="505" ht="15.75" customHeight="1" s="1" customFormat="1" x14ac:dyDescent="0.25"/>
    <row r="506" ht="15.75" customHeight="1" s="1" customFormat="1" x14ac:dyDescent="0.25"/>
    <row r="507" ht="15.75" customHeight="1" s="1" customFormat="1" x14ac:dyDescent="0.25"/>
    <row r="508" ht="15.75" customHeight="1" s="1" customFormat="1" x14ac:dyDescent="0.25"/>
    <row r="509" ht="15.75" customHeight="1" s="1" customFormat="1" x14ac:dyDescent="0.25"/>
    <row r="510" ht="15.75" customHeight="1" s="1" customFormat="1" x14ac:dyDescent="0.25"/>
    <row r="511" ht="15.75" customHeight="1" s="1" customFormat="1" x14ac:dyDescent="0.25"/>
    <row r="512" ht="15.75" customHeight="1" s="1" customFormat="1" x14ac:dyDescent="0.25"/>
    <row r="513" ht="15.75" customHeight="1" s="1" customFormat="1" x14ac:dyDescent="0.25"/>
    <row r="514" ht="15.75" customHeight="1" s="1" customFormat="1" x14ac:dyDescent="0.25"/>
    <row r="515" ht="15.75" customHeight="1" s="1" customFormat="1" x14ac:dyDescent="0.25"/>
    <row r="516" ht="15.75" customHeight="1" s="1" customFormat="1" x14ac:dyDescent="0.25"/>
    <row r="517" ht="15.75" customHeight="1" s="1" customFormat="1" x14ac:dyDescent="0.25"/>
    <row r="518" ht="15.75" customHeight="1" s="1" customFormat="1" x14ac:dyDescent="0.25"/>
    <row r="519" ht="15.75" customHeight="1" s="1" customFormat="1" x14ac:dyDescent="0.25"/>
    <row r="520" ht="15.75" customHeight="1" s="1" customFormat="1" x14ac:dyDescent="0.25"/>
    <row r="521" ht="15.75" customHeight="1" s="1" customFormat="1" x14ac:dyDescent="0.25"/>
    <row r="522" ht="15.75" customHeight="1" s="1" customFormat="1" x14ac:dyDescent="0.25"/>
    <row r="523" ht="15.75" customHeight="1" s="1" customFormat="1" x14ac:dyDescent="0.25"/>
    <row r="524" ht="15.75" customHeight="1" s="1" customFormat="1" x14ac:dyDescent="0.25"/>
    <row r="525" ht="15.75" customHeight="1" s="1" customFormat="1" x14ac:dyDescent="0.25"/>
    <row r="526" ht="15.75" customHeight="1" s="1" customFormat="1" x14ac:dyDescent="0.25"/>
    <row r="527" ht="15.75" customHeight="1" s="1" customFormat="1" x14ac:dyDescent="0.25"/>
    <row r="528" ht="15.75" customHeight="1" s="1" customFormat="1" x14ac:dyDescent="0.25"/>
    <row r="529" ht="15.75" customHeight="1" s="1" customFormat="1" x14ac:dyDescent="0.25"/>
    <row r="530" ht="15.75" customHeight="1" s="1" customFormat="1" x14ac:dyDescent="0.25"/>
    <row r="531" ht="15.75" customHeight="1" s="1" customFormat="1" x14ac:dyDescent="0.25"/>
    <row r="532" ht="15.75" customHeight="1" s="1" customFormat="1" x14ac:dyDescent="0.25"/>
    <row r="533" ht="15.75" customHeight="1" s="1" customFormat="1" x14ac:dyDescent="0.25"/>
    <row r="534" ht="15.75" customHeight="1" s="1" customFormat="1" x14ac:dyDescent="0.25"/>
    <row r="535" ht="15.75" customHeight="1" s="1" customFormat="1" x14ac:dyDescent="0.25"/>
    <row r="536" ht="15.75" customHeight="1" s="1" customFormat="1" x14ac:dyDescent="0.25"/>
    <row r="537" ht="15.75" customHeight="1" s="1" customFormat="1" x14ac:dyDescent="0.25"/>
    <row r="538" ht="15.75" customHeight="1" s="1" customFormat="1" x14ac:dyDescent="0.25"/>
    <row r="539" ht="15.75" customHeight="1" s="1" customFormat="1" x14ac:dyDescent="0.25"/>
    <row r="540" ht="15.75" customHeight="1" s="1" customFormat="1" x14ac:dyDescent="0.25"/>
    <row r="541" ht="15.75" customHeight="1" s="1" customFormat="1" x14ac:dyDescent="0.25"/>
    <row r="542" ht="15.75" customHeight="1" s="1" customFormat="1" x14ac:dyDescent="0.25"/>
    <row r="543" ht="15.75" customHeight="1" s="1" customFormat="1" x14ac:dyDescent="0.25"/>
    <row r="544" ht="15.75" customHeight="1" s="1" customFormat="1" x14ac:dyDescent="0.25"/>
    <row r="545" ht="15.75" customHeight="1" s="1" customFormat="1" x14ac:dyDescent="0.25"/>
    <row r="546" ht="15.75" customHeight="1" s="1" customFormat="1" x14ac:dyDescent="0.25"/>
    <row r="547" ht="15.75" customHeight="1" s="1" customFormat="1" x14ac:dyDescent="0.25"/>
    <row r="548" ht="15.75" customHeight="1" s="1" customFormat="1" x14ac:dyDescent="0.25"/>
    <row r="549" ht="15.75" customHeight="1" s="1" customFormat="1" x14ac:dyDescent="0.25"/>
    <row r="550" ht="15.75" customHeight="1" s="1" customFormat="1" x14ac:dyDescent="0.25"/>
    <row r="551" ht="15.75" customHeight="1" s="1" customFormat="1" x14ac:dyDescent="0.25"/>
    <row r="552" ht="15.75" customHeight="1" s="1" customFormat="1" x14ac:dyDescent="0.25"/>
    <row r="553" ht="15.75" customHeight="1" s="1" customFormat="1" x14ac:dyDescent="0.25"/>
    <row r="554" ht="15.75" customHeight="1" s="1" customFormat="1" x14ac:dyDescent="0.25"/>
    <row r="555" ht="15.75" customHeight="1" s="1" customFormat="1" x14ac:dyDescent="0.25"/>
    <row r="556" ht="15.75" customHeight="1" s="1" customFormat="1" x14ac:dyDescent="0.25"/>
    <row r="557" ht="15.75" customHeight="1" s="1" customFormat="1" x14ac:dyDescent="0.25"/>
    <row r="558" ht="15.75" customHeight="1" s="1" customFormat="1" x14ac:dyDescent="0.25"/>
    <row r="559" ht="15.75" customHeight="1" s="1" customFormat="1" x14ac:dyDescent="0.25"/>
    <row r="560" ht="15.75" customHeight="1" s="1" customFormat="1" x14ac:dyDescent="0.25"/>
    <row r="561" ht="15.75" customHeight="1" s="1" customFormat="1" x14ac:dyDescent="0.25"/>
    <row r="562" ht="15.75" customHeight="1" s="1" customFormat="1" x14ac:dyDescent="0.25"/>
    <row r="563" ht="15.75" customHeight="1" s="1" customFormat="1" x14ac:dyDescent="0.25"/>
    <row r="564" ht="15.75" customHeight="1" s="1" customFormat="1" x14ac:dyDescent="0.25"/>
    <row r="565" ht="15.75" customHeight="1" s="1" customFormat="1" x14ac:dyDescent="0.25"/>
    <row r="566" ht="15.75" customHeight="1" s="1" customFormat="1" x14ac:dyDescent="0.25"/>
    <row r="567" ht="15.75" customHeight="1" s="1" customFormat="1" x14ac:dyDescent="0.25"/>
    <row r="568" ht="15.75" customHeight="1" s="1" customFormat="1" x14ac:dyDescent="0.25"/>
    <row r="569" ht="15.75" customHeight="1" s="1" customFormat="1" x14ac:dyDescent="0.25"/>
    <row r="570" ht="15.75" customHeight="1" s="1" customFormat="1" x14ac:dyDescent="0.25"/>
    <row r="571" ht="15.75" customHeight="1" s="1" customFormat="1" x14ac:dyDescent="0.25"/>
    <row r="572" ht="15.75" customHeight="1" s="1" customFormat="1" x14ac:dyDescent="0.25"/>
    <row r="573" ht="15.75" customHeight="1" s="1" customFormat="1" x14ac:dyDescent="0.25"/>
    <row r="574" ht="15.75" customHeight="1" s="1" customFormat="1" x14ac:dyDescent="0.25"/>
    <row r="575" ht="15.75" customHeight="1" s="1" customFormat="1" x14ac:dyDescent="0.25"/>
    <row r="576" ht="15.75" customHeight="1" s="1" customFormat="1" x14ac:dyDescent="0.25"/>
    <row r="577" ht="15.75" customHeight="1" s="1" customFormat="1" x14ac:dyDescent="0.25"/>
    <row r="578" ht="15.75" customHeight="1" s="1" customFormat="1" x14ac:dyDescent="0.25"/>
    <row r="579" ht="15.75" customHeight="1" s="1" customFormat="1" x14ac:dyDescent="0.25"/>
    <row r="580" ht="15.75" customHeight="1" s="1" customFormat="1" x14ac:dyDescent="0.25"/>
    <row r="581" ht="15.75" customHeight="1" s="1" customFormat="1" x14ac:dyDescent="0.25"/>
    <row r="582" ht="15.75" customHeight="1" s="1" customFormat="1" x14ac:dyDescent="0.25"/>
    <row r="583" ht="15.75" customHeight="1" s="1" customFormat="1" x14ac:dyDescent="0.25"/>
    <row r="584" ht="15.75" customHeight="1" s="1" customFormat="1" x14ac:dyDescent="0.25"/>
    <row r="585" ht="15.75" customHeight="1" s="1" customFormat="1" x14ac:dyDescent="0.25"/>
    <row r="586" ht="15.75" customHeight="1" s="1" customFormat="1" x14ac:dyDescent="0.25"/>
    <row r="587" ht="15.75" customHeight="1" s="1" customFormat="1" x14ac:dyDescent="0.25"/>
    <row r="588" ht="15.75" customHeight="1" s="1" customFormat="1" x14ac:dyDescent="0.25"/>
    <row r="589" ht="15.75" customHeight="1" s="1" customFormat="1" x14ac:dyDescent="0.25"/>
    <row r="590" ht="15.75" customHeight="1" s="1" customFormat="1" x14ac:dyDescent="0.25"/>
    <row r="591" ht="15.75" customHeight="1" s="1" customFormat="1" x14ac:dyDescent="0.25"/>
    <row r="592" ht="15.75" customHeight="1" s="1" customFormat="1" x14ac:dyDescent="0.25"/>
    <row r="593" ht="15.75" customHeight="1" s="1" customFormat="1" x14ac:dyDescent="0.25"/>
    <row r="594" ht="15.75" customHeight="1" s="1" customFormat="1" x14ac:dyDescent="0.25"/>
    <row r="595" ht="15.75" customHeight="1" s="1" customFormat="1" x14ac:dyDescent="0.25"/>
    <row r="596" ht="15.75" customHeight="1" s="1" customFormat="1" x14ac:dyDescent="0.25"/>
    <row r="597" ht="15.75" customHeight="1" s="1" customFormat="1" x14ac:dyDescent="0.25"/>
    <row r="598" ht="15.75" customHeight="1" s="1" customFormat="1" x14ac:dyDescent="0.25"/>
    <row r="599" ht="15.75" customHeight="1" s="1" customFormat="1" x14ac:dyDescent="0.25"/>
    <row r="600" ht="15.75" customHeight="1" s="1" customFormat="1" x14ac:dyDescent="0.25"/>
    <row r="601" ht="15.75" customHeight="1" s="1" customFormat="1" x14ac:dyDescent="0.25"/>
    <row r="602" ht="15.75" customHeight="1" s="1" customFormat="1" x14ac:dyDescent="0.25"/>
    <row r="603" ht="15.75" customHeight="1" s="1" customFormat="1" x14ac:dyDescent="0.25"/>
    <row r="604" ht="15.75" customHeight="1" s="1" customFormat="1" x14ac:dyDescent="0.25"/>
    <row r="605" ht="15.75" customHeight="1" s="1" customFormat="1" x14ac:dyDescent="0.25"/>
    <row r="606" ht="15.75" customHeight="1" s="1" customFormat="1" x14ac:dyDescent="0.25"/>
    <row r="607" ht="15.75" customHeight="1" s="1" customFormat="1" x14ac:dyDescent="0.25"/>
    <row r="608" ht="15.75" customHeight="1" s="1" customFormat="1" x14ac:dyDescent="0.25"/>
    <row r="609" ht="15.75" customHeight="1" s="1" customFormat="1" x14ac:dyDescent="0.25"/>
    <row r="610" ht="15.75" customHeight="1" s="1" customFormat="1" x14ac:dyDescent="0.25"/>
    <row r="611" ht="15.75" customHeight="1" s="1" customFormat="1" x14ac:dyDescent="0.25"/>
    <row r="612" ht="15.75" customHeight="1" s="1" customFormat="1" x14ac:dyDescent="0.25"/>
    <row r="613" ht="15.75" customHeight="1" s="1" customFormat="1" x14ac:dyDescent="0.25"/>
    <row r="614" ht="15.75" customHeight="1" s="1" customFormat="1" x14ac:dyDescent="0.25"/>
    <row r="615" ht="15.75" customHeight="1" s="1" customFormat="1" x14ac:dyDescent="0.25"/>
    <row r="616" ht="15.75" customHeight="1" s="1" customFormat="1" x14ac:dyDescent="0.25"/>
    <row r="617" ht="15.75" customHeight="1" s="1" customFormat="1" x14ac:dyDescent="0.25"/>
    <row r="618" ht="15.75" customHeight="1" s="1" customFormat="1" x14ac:dyDescent="0.25"/>
    <row r="619" ht="15.75" customHeight="1" s="1" customFormat="1" x14ac:dyDescent="0.25"/>
    <row r="620" ht="15.75" customHeight="1" s="1" customFormat="1" x14ac:dyDescent="0.25"/>
    <row r="621" ht="15.75" customHeight="1" s="1" customFormat="1" x14ac:dyDescent="0.25"/>
    <row r="622" ht="15.75" customHeight="1" s="1" customFormat="1" x14ac:dyDescent="0.25"/>
    <row r="623" ht="15.75" customHeight="1" s="1" customFormat="1" x14ac:dyDescent="0.25"/>
    <row r="624" ht="15.75" customHeight="1" s="1" customFormat="1" x14ac:dyDescent="0.25"/>
    <row r="625" ht="15.75" customHeight="1" s="1" customFormat="1" x14ac:dyDescent="0.25"/>
    <row r="626" ht="15.75" customHeight="1" s="1" customFormat="1" x14ac:dyDescent="0.25"/>
    <row r="627" ht="15.75" customHeight="1" s="1" customFormat="1" x14ac:dyDescent="0.25"/>
    <row r="628" ht="15.75" customHeight="1" s="1" customFormat="1" x14ac:dyDescent="0.25"/>
    <row r="629" ht="15.75" customHeight="1" s="1" customFormat="1" x14ac:dyDescent="0.25"/>
    <row r="630" ht="15.75" customHeight="1" s="1" customFormat="1" x14ac:dyDescent="0.25"/>
    <row r="631" ht="15.75" customHeight="1" s="1" customFormat="1" x14ac:dyDescent="0.25"/>
    <row r="632" ht="15.75" customHeight="1" s="1" customFormat="1" x14ac:dyDescent="0.25"/>
    <row r="633" ht="15.75" customHeight="1" s="1" customFormat="1" x14ac:dyDescent="0.25"/>
    <row r="634" ht="15.75" customHeight="1" s="1" customFormat="1" x14ac:dyDescent="0.25"/>
    <row r="635" ht="15.75" customHeight="1" s="1" customFormat="1" x14ac:dyDescent="0.25"/>
    <row r="636" ht="15.75" customHeight="1" s="1" customFormat="1" x14ac:dyDescent="0.25"/>
    <row r="637" ht="15.75" customHeight="1" s="1" customFormat="1" x14ac:dyDescent="0.25"/>
    <row r="638" ht="15.75" customHeight="1" s="1" customFormat="1" x14ac:dyDescent="0.25"/>
    <row r="639" ht="15.75" customHeight="1" s="1" customFormat="1" x14ac:dyDescent="0.25"/>
    <row r="640" ht="15.75" customHeight="1" s="1" customFormat="1" x14ac:dyDescent="0.25"/>
    <row r="641" ht="15.75" customHeight="1" s="1" customFormat="1" x14ac:dyDescent="0.25"/>
    <row r="642" ht="15.75" customHeight="1" s="1" customFormat="1" x14ac:dyDescent="0.25"/>
    <row r="643" ht="15.75" customHeight="1" s="1" customFormat="1" x14ac:dyDescent="0.25"/>
    <row r="644" ht="15.75" customHeight="1" s="1" customFormat="1" x14ac:dyDescent="0.25"/>
    <row r="645" ht="15.75" customHeight="1" s="1" customFormat="1" x14ac:dyDescent="0.25"/>
    <row r="646" ht="15.75" customHeight="1" s="1" customFormat="1" x14ac:dyDescent="0.25"/>
    <row r="647" ht="15.75" customHeight="1" s="1" customFormat="1" x14ac:dyDescent="0.25"/>
    <row r="648" ht="15.75" customHeight="1" s="1" customFormat="1" x14ac:dyDescent="0.25"/>
    <row r="649" ht="15.75" customHeight="1" s="1" customFormat="1" x14ac:dyDescent="0.25"/>
    <row r="650" ht="15.75" customHeight="1" s="1" customFormat="1" x14ac:dyDescent="0.25"/>
    <row r="651" ht="15.75" customHeight="1" s="1" customFormat="1" x14ac:dyDescent="0.25"/>
    <row r="652" ht="15.75" customHeight="1" s="1" customFormat="1" x14ac:dyDescent="0.25"/>
    <row r="653" ht="15.75" customHeight="1" s="1" customFormat="1" x14ac:dyDescent="0.25"/>
    <row r="654" ht="15.75" customHeight="1" s="1" customFormat="1" x14ac:dyDescent="0.25"/>
    <row r="655" ht="15.75" customHeight="1" s="1" customFormat="1" x14ac:dyDescent="0.25"/>
    <row r="656" ht="15.75" customHeight="1" s="1" customFormat="1" x14ac:dyDescent="0.25"/>
    <row r="657" ht="15.75" customHeight="1" s="1" customFormat="1" x14ac:dyDescent="0.25"/>
    <row r="658" ht="15.75" customHeight="1" s="1" customFormat="1" x14ac:dyDescent="0.25"/>
    <row r="659" ht="15.75" customHeight="1" s="1" customFormat="1" x14ac:dyDescent="0.25"/>
    <row r="660" ht="15.75" customHeight="1" s="1" customFormat="1" x14ac:dyDescent="0.25"/>
    <row r="661" ht="15.75" customHeight="1" s="1" customFormat="1" x14ac:dyDescent="0.25"/>
    <row r="662" ht="15.75" customHeight="1" s="1" customFormat="1" x14ac:dyDescent="0.25"/>
    <row r="663" ht="15.75" customHeight="1" s="1" customFormat="1" x14ac:dyDescent="0.25"/>
    <row r="664" ht="15.75" customHeight="1" s="1" customFormat="1" x14ac:dyDescent="0.25"/>
    <row r="665" ht="15.75" customHeight="1" s="1" customFormat="1" x14ac:dyDescent="0.25"/>
    <row r="666" ht="15.75" customHeight="1" s="1" customFormat="1" x14ac:dyDescent="0.25"/>
    <row r="667" ht="15.75" customHeight="1" s="1" customFormat="1" x14ac:dyDescent="0.25"/>
    <row r="668" ht="15.75" customHeight="1" s="1" customFormat="1" x14ac:dyDescent="0.25"/>
    <row r="669" ht="15.75" customHeight="1" s="1" customFormat="1" x14ac:dyDescent="0.25"/>
    <row r="670" ht="15.75" customHeight="1" s="1" customFormat="1" x14ac:dyDescent="0.25"/>
    <row r="671" ht="15.75" customHeight="1" s="1" customFormat="1" x14ac:dyDescent="0.25"/>
    <row r="672" ht="15.75" customHeight="1" s="1" customFormat="1" x14ac:dyDescent="0.25"/>
    <row r="673" ht="15.75" customHeight="1" s="1" customFormat="1" x14ac:dyDescent="0.25"/>
    <row r="674" ht="15.75" customHeight="1" s="1" customFormat="1" x14ac:dyDescent="0.25"/>
    <row r="675" ht="15.75" customHeight="1" s="1" customFormat="1" x14ac:dyDescent="0.25"/>
    <row r="676" ht="15.75" customHeight="1" s="1" customFormat="1" x14ac:dyDescent="0.25"/>
    <row r="677" ht="15.75" customHeight="1" s="1" customFormat="1" x14ac:dyDescent="0.25"/>
    <row r="678" ht="15.75" customHeight="1" s="1" customFormat="1" x14ac:dyDescent="0.25"/>
    <row r="679" ht="15.75" customHeight="1" s="1" customFormat="1" x14ac:dyDescent="0.25"/>
    <row r="680" ht="15.75" customHeight="1" s="1" customFormat="1" x14ac:dyDescent="0.25"/>
    <row r="681" ht="15.75" customHeight="1" s="1" customFormat="1" x14ac:dyDescent="0.25"/>
    <row r="682" ht="15.75" customHeight="1" s="1" customFormat="1" x14ac:dyDescent="0.25"/>
    <row r="683" ht="15.75" customHeight="1" s="1" customFormat="1" x14ac:dyDescent="0.25"/>
    <row r="684" ht="15.75" customHeight="1" s="1" customFormat="1" x14ac:dyDescent="0.25"/>
    <row r="685" ht="15.75" customHeight="1" s="1" customFormat="1" x14ac:dyDescent="0.25"/>
    <row r="686" ht="15.75" customHeight="1" s="1" customFormat="1" x14ac:dyDescent="0.25"/>
    <row r="687" ht="15.75" customHeight="1" s="1" customFormat="1" x14ac:dyDescent="0.25"/>
    <row r="688" ht="15.75" customHeight="1" s="1" customFormat="1" x14ac:dyDescent="0.25"/>
    <row r="689" ht="15.75" customHeight="1" s="1" customFormat="1" x14ac:dyDescent="0.25"/>
    <row r="690" ht="15.75" customHeight="1" s="1" customFormat="1" x14ac:dyDescent="0.25"/>
    <row r="691" ht="15.75" customHeight="1" s="1" customFormat="1" x14ac:dyDescent="0.25"/>
    <row r="692" ht="15.75" customHeight="1" s="1" customFormat="1" x14ac:dyDescent="0.25"/>
    <row r="693" ht="15.75" customHeight="1" s="1" customFormat="1" x14ac:dyDescent="0.25"/>
    <row r="694" ht="15.75" customHeight="1" s="1" customFormat="1" x14ac:dyDescent="0.25"/>
    <row r="695" ht="15.75" customHeight="1" s="1" customFormat="1" x14ac:dyDescent="0.25"/>
    <row r="696" ht="15.75" customHeight="1" s="1" customFormat="1" x14ac:dyDescent="0.25"/>
    <row r="697" ht="15.75" customHeight="1" s="1" customFormat="1" x14ac:dyDescent="0.25"/>
    <row r="698" ht="15.75" customHeight="1" s="1" customFormat="1" x14ac:dyDescent="0.25"/>
    <row r="699" ht="15.75" customHeight="1" s="1" customFormat="1" x14ac:dyDescent="0.25"/>
    <row r="700" ht="15.75" customHeight="1" s="1" customFormat="1" x14ac:dyDescent="0.25"/>
    <row r="701" ht="15.75" customHeight="1" s="1" customFormat="1" x14ac:dyDescent="0.25"/>
    <row r="702" ht="15.75" customHeight="1" s="1" customFormat="1" x14ac:dyDescent="0.25"/>
    <row r="703" ht="15.75" customHeight="1" s="1" customFormat="1" x14ac:dyDescent="0.25"/>
    <row r="704" ht="15.75" customHeight="1" s="1" customFormat="1" x14ac:dyDescent="0.25"/>
    <row r="705" ht="15.75" customHeight="1" s="1" customFormat="1" x14ac:dyDescent="0.25"/>
    <row r="706" ht="15.75" customHeight="1" s="1" customFormat="1" x14ac:dyDescent="0.25"/>
    <row r="707" ht="15.75" customHeight="1" s="1" customFormat="1" x14ac:dyDescent="0.25"/>
    <row r="708" ht="15.75" customHeight="1" s="1" customFormat="1" x14ac:dyDescent="0.25"/>
    <row r="709" ht="15.75" customHeight="1" s="1" customFormat="1" x14ac:dyDescent="0.25"/>
    <row r="710" ht="15.75" customHeight="1" s="1" customFormat="1" x14ac:dyDescent="0.25"/>
    <row r="711" ht="15.75" customHeight="1" s="1" customFormat="1" x14ac:dyDescent="0.25"/>
    <row r="712" ht="15.75" customHeight="1" s="1" customFormat="1" x14ac:dyDescent="0.25"/>
    <row r="713" ht="15.75" customHeight="1" s="1" customFormat="1" x14ac:dyDescent="0.25"/>
    <row r="714" ht="15.75" customHeight="1" s="1" customFormat="1" x14ac:dyDescent="0.25"/>
    <row r="715" ht="15.75" customHeight="1" s="1" customFormat="1" x14ac:dyDescent="0.25"/>
    <row r="716" ht="15.75" customHeight="1" s="1" customFormat="1" x14ac:dyDescent="0.25"/>
    <row r="717" ht="15.75" customHeight="1" s="1" customFormat="1" x14ac:dyDescent="0.25"/>
    <row r="718" ht="15.75" customHeight="1" s="1" customFormat="1" x14ac:dyDescent="0.25"/>
    <row r="719" ht="15.75" customHeight="1" s="1" customFormat="1" x14ac:dyDescent="0.25"/>
    <row r="720" ht="15.75" customHeight="1" s="1" customFormat="1" x14ac:dyDescent="0.25"/>
    <row r="721" ht="15.75" customHeight="1" s="1" customFormat="1" x14ac:dyDescent="0.25"/>
    <row r="722" ht="15.75" customHeight="1" s="1" customFormat="1" x14ac:dyDescent="0.25"/>
    <row r="723" ht="15.75" customHeight="1" s="1" customFormat="1" x14ac:dyDescent="0.25"/>
    <row r="724" ht="15.75" customHeight="1" s="1" customFormat="1" x14ac:dyDescent="0.25"/>
    <row r="725" ht="15.75" customHeight="1" s="1" customFormat="1" x14ac:dyDescent="0.25"/>
    <row r="726" ht="15.75" customHeight="1" s="1" customFormat="1" x14ac:dyDescent="0.25"/>
    <row r="727" ht="15.75" customHeight="1" s="1" customFormat="1" x14ac:dyDescent="0.25"/>
    <row r="728" ht="15.75" customHeight="1" s="1" customFormat="1" x14ac:dyDescent="0.25"/>
    <row r="729" ht="15.75" customHeight="1" s="1" customFormat="1" x14ac:dyDescent="0.25"/>
    <row r="730" ht="15.75" customHeight="1" s="1" customFormat="1" x14ac:dyDescent="0.25"/>
    <row r="731" ht="15.75" customHeight="1" s="1" customFormat="1" x14ac:dyDescent="0.25"/>
    <row r="732" ht="15.75" customHeight="1" s="1" customFormat="1" x14ac:dyDescent="0.25"/>
    <row r="733" ht="15.75" customHeight="1" s="1" customFormat="1" x14ac:dyDescent="0.25"/>
    <row r="734" ht="15.75" customHeight="1" s="1" customFormat="1" x14ac:dyDescent="0.25"/>
    <row r="735" ht="15.75" customHeight="1" s="1" customFormat="1" x14ac:dyDescent="0.25"/>
    <row r="736" ht="15.75" customHeight="1" s="1" customFormat="1" x14ac:dyDescent="0.25"/>
    <row r="737" ht="15.75" customHeight="1" s="1" customFormat="1" x14ac:dyDescent="0.25"/>
    <row r="738" ht="15.75" customHeight="1" s="1" customFormat="1" x14ac:dyDescent="0.25"/>
    <row r="739" ht="15.75" customHeight="1" s="1" customFormat="1" x14ac:dyDescent="0.25"/>
    <row r="740" ht="15.75" customHeight="1" s="1" customFormat="1" x14ac:dyDescent="0.25"/>
    <row r="741" ht="15.75" customHeight="1" s="1" customFormat="1" x14ac:dyDescent="0.25"/>
    <row r="742" ht="15.75" customHeight="1" s="1" customFormat="1" x14ac:dyDescent="0.25"/>
    <row r="743" ht="15.75" customHeight="1" s="1" customFormat="1" x14ac:dyDescent="0.25"/>
    <row r="744" ht="15.75" customHeight="1" s="1" customFormat="1" x14ac:dyDescent="0.25"/>
    <row r="745" ht="15.75" customHeight="1" s="1" customFormat="1" x14ac:dyDescent="0.25"/>
    <row r="746" ht="15.75" customHeight="1" s="1" customFormat="1" x14ac:dyDescent="0.25"/>
    <row r="747" ht="15.75" customHeight="1" s="1" customFormat="1" x14ac:dyDescent="0.25"/>
    <row r="748" ht="15.75" customHeight="1" s="1" customFormat="1" x14ac:dyDescent="0.25"/>
    <row r="749" ht="15.75" customHeight="1" s="1" customFormat="1" x14ac:dyDescent="0.25"/>
    <row r="750" ht="15.75" customHeight="1" s="1" customFormat="1" x14ac:dyDescent="0.25"/>
    <row r="751" ht="15.75" customHeight="1" s="1" customFormat="1" x14ac:dyDescent="0.25"/>
    <row r="752" ht="15.75" customHeight="1" s="1" customFormat="1" x14ac:dyDescent="0.25"/>
    <row r="753" ht="15.75" customHeight="1" s="1" customFormat="1" x14ac:dyDescent="0.25"/>
    <row r="754" ht="15.75" customHeight="1" s="1" customFormat="1" x14ac:dyDescent="0.25"/>
    <row r="755" ht="15.75" customHeight="1" s="1" customFormat="1" x14ac:dyDescent="0.25"/>
    <row r="756" ht="15.75" customHeight="1" s="1" customFormat="1" x14ac:dyDescent="0.25"/>
    <row r="757" ht="15.75" customHeight="1" s="1" customFormat="1" x14ac:dyDescent="0.25"/>
    <row r="758" ht="15.75" customHeight="1" s="1" customFormat="1" x14ac:dyDescent="0.25"/>
    <row r="759" ht="15.75" customHeight="1" s="1" customFormat="1" x14ac:dyDescent="0.25"/>
    <row r="760" ht="15.75" customHeight="1" s="1" customFormat="1" x14ac:dyDescent="0.25"/>
    <row r="761" ht="15.75" customHeight="1" s="1" customFormat="1" x14ac:dyDescent="0.25"/>
    <row r="762" ht="15.75" customHeight="1" s="1" customFormat="1" x14ac:dyDescent="0.25"/>
    <row r="763" ht="15.75" customHeight="1" s="1" customFormat="1" x14ac:dyDescent="0.25"/>
    <row r="764" ht="15.75" customHeight="1" s="1" customFormat="1" x14ac:dyDescent="0.25"/>
    <row r="765" ht="15.75" customHeight="1" s="1" customFormat="1" x14ac:dyDescent="0.25"/>
    <row r="766" ht="15.75" customHeight="1" s="1" customFormat="1" x14ac:dyDescent="0.25"/>
    <row r="767" ht="15.75" customHeight="1" s="1" customFormat="1" x14ac:dyDescent="0.25"/>
    <row r="768" ht="15.75" customHeight="1" s="1" customFormat="1" x14ac:dyDescent="0.25"/>
    <row r="769" ht="15.75" customHeight="1" s="1" customFormat="1" x14ac:dyDescent="0.25"/>
    <row r="770" ht="15.75" customHeight="1" s="1" customFormat="1" x14ac:dyDescent="0.25"/>
    <row r="771" ht="15.75" customHeight="1" s="1" customFormat="1" x14ac:dyDescent="0.25"/>
    <row r="772" ht="15.75" customHeight="1" s="1" customFormat="1" x14ac:dyDescent="0.25"/>
    <row r="773" ht="15.75" customHeight="1" s="1" customFormat="1" x14ac:dyDescent="0.25"/>
    <row r="774" ht="15.75" customHeight="1" s="1" customFormat="1" x14ac:dyDescent="0.25"/>
    <row r="775" ht="15.75" customHeight="1" s="1" customFormat="1" x14ac:dyDescent="0.25"/>
    <row r="776" ht="15.75" customHeight="1" s="1" customFormat="1" x14ac:dyDescent="0.25"/>
    <row r="777" ht="15.75" customHeight="1" s="1" customFormat="1" x14ac:dyDescent="0.25"/>
    <row r="778" ht="15.75" customHeight="1" s="1" customFormat="1" x14ac:dyDescent="0.25"/>
    <row r="779" ht="15.75" customHeight="1" s="1" customFormat="1" x14ac:dyDescent="0.25"/>
    <row r="780" ht="15.75" customHeight="1" s="1" customFormat="1" x14ac:dyDescent="0.25"/>
    <row r="781" ht="15.75" customHeight="1" s="1" customFormat="1" x14ac:dyDescent="0.25"/>
    <row r="782" ht="15.75" customHeight="1" s="1" customFormat="1" x14ac:dyDescent="0.25"/>
    <row r="783" ht="15.75" customHeight="1" s="1" customFormat="1" x14ac:dyDescent="0.25"/>
    <row r="784" ht="15.75" customHeight="1" s="1" customFormat="1" x14ac:dyDescent="0.25"/>
    <row r="785" ht="15.75" customHeight="1" s="1" customFormat="1" x14ac:dyDescent="0.25"/>
    <row r="786" ht="15.75" customHeight="1" s="1" customFormat="1" x14ac:dyDescent="0.25"/>
    <row r="787" ht="15.75" customHeight="1" s="1" customFormat="1" x14ac:dyDescent="0.25"/>
    <row r="788" ht="15.75" customHeight="1" s="1" customFormat="1" x14ac:dyDescent="0.25"/>
    <row r="789" ht="15.75" customHeight="1" s="1" customFormat="1" x14ac:dyDescent="0.25"/>
    <row r="790" ht="15.75" customHeight="1" s="1" customFormat="1" x14ac:dyDescent="0.25"/>
    <row r="791" ht="15.75" customHeight="1" s="1" customFormat="1" x14ac:dyDescent="0.25"/>
    <row r="792" ht="15.75" customHeight="1" s="1" customFormat="1" x14ac:dyDescent="0.25"/>
    <row r="793" ht="15.75" customHeight="1" s="1" customFormat="1" x14ac:dyDescent="0.25"/>
    <row r="794" ht="15.75" customHeight="1" s="1" customFormat="1" x14ac:dyDescent="0.25"/>
    <row r="795" ht="15.75" customHeight="1" s="1" customFormat="1" x14ac:dyDescent="0.25"/>
    <row r="796" ht="15.75" customHeight="1" s="1" customFormat="1" x14ac:dyDescent="0.25"/>
    <row r="797" ht="15.75" customHeight="1" s="1" customFormat="1" x14ac:dyDescent="0.25"/>
    <row r="798" ht="15.75" customHeight="1" s="1" customFormat="1" x14ac:dyDescent="0.25"/>
    <row r="799" ht="15.75" customHeight="1" s="1" customFormat="1" x14ac:dyDescent="0.25"/>
    <row r="800" ht="15.75" customHeight="1" s="1" customFormat="1" x14ac:dyDescent="0.25"/>
    <row r="801" ht="15.75" customHeight="1" s="1" customFormat="1" x14ac:dyDescent="0.25"/>
    <row r="802" ht="15.75" customHeight="1" s="1" customFormat="1" x14ac:dyDescent="0.25"/>
    <row r="803" ht="15.75" customHeight="1" s="1" customFormat="1" x14ac:dyDescent="0.25"/>
    <row r="804" ht="15.75" customHeight="1" s="1" customFormat="1" x14ac:dyDescent="0.25"/>
    <row r="805" ht="15.75" customHeight="1" s="1" customFormat="1" x14ac:dyDescent="0.25"/>
    <row r="806" ht="15.75" customHeight="1" s="1" customFormat="1" x14ac:dyDescent="0.25"/>
    <row r="807" ht="15.75" customHeight="1" s="1" customFormat="1" x14ac:dyDescent="0.25"/>
    <row r="808" ht="15.75" customHeight="1" s="1" customFormat="1" x14ac:dyDescent="0.25"/>
    <row r="809" ht="15.75" customHeight="1" s="1" customFormat="1" x14ac:dyDescent="0.25"/>
    <row r="810" ht="15.75" customHeight="1" s="1" customFormat="1" x14ac:dyDescent="0.25"/>
    <row r="811" ht="15.75" customHeight="1" s="1" customFormat="1" x14ac:dyDescent="0.25"/>
    <row r="812" ht="15.75" customHeight="1" s="1" customFormat="1" x14ac:dyDescent="0.25"/>
    <row r="813" ht="15.75" customHeight="1" s="1" customFormat="1" x14ac:dyDescent="0.25"/>
    <row r="814" ht="15.75" customHeight="1" s="1" customFormat="1" x14ac:dyDescent="0.25"/>
    <row r="815" ht="15.75" customHeight="1" s="1" customFormat="1" x14ac:dyDescent="0.25"/>
    <row r="816" ht="15.75" customHeight="1" s="1" customFormat="1" x14ac:dyDescent="0.25"/>
    <row r="817" ht="15.75" customHeight="1" s="1" customFormat="1" x14ac:dyDescent="0.25"/>
    <row r="818" ht="15.75" customHeight="1" s="1" customFormat="1" x14ac:dyDescent="0.25"/>
    <row r="819" ht="15.75" customHeight="1" s="1" customFormat="1" x14ac:dyDescent="0.25"/>
    <row r="820" ht="15.75" customHeight="1" s="1" customFormat="1" x14ac:dyDescent="0.25"/>
    <row r="821" ht="15.75" customHeight="1" s="1" customFormat="1" x14ac:dyDescent="0.25"/>
    <row r="822" ht="15.75" customHeight="1" s="1" customFormat="1" x14ac:dyDescent="0.25"/>
    <row r="823" ht="15.75" customHeight="1" s="1" customFormat="1" x14ac:dyDescent="0.25"/>
    <row r="824" ht="15.75" customHeight="1" s="1" customFormat="1" x14ac:dyDescent="0.25"/>
    <row r="825" ht="15.75" customHeight="1" s="1" customFormat="1" x14ac:dyDescent="0.25"/>
    <row r="826" ht="15.75" customHeight="1" s="1" customFormat="1" x14ac:dyDescent="0.25"/>
    <row r="827" ht="15.75" customHeight="1" s="1" customFormat="1" x14ac:dyDescent="0.25"/>
    <row r="828" ht="15.75" customHeight="1" s="1" customFormat="1" x14ac:dyDescent="0.25"/>
    <row r="829" ht="15.75" customHeight="1" s="1" customFormat="1" x14ac:dyDescent="0.25"/>
    <row r="830" ht="15.75" customHeight="1" s="1" customFormat="1" x14ac:dyDescent="0.25"/>
    <row r="831" ht="15.75" customHeight="1" s="1" customFormat="1" x14ac:dyDescent="0.25"/>
    <row r="832" ht="15.75" customHeight="1" s="1" customFormat="1" x14ac:dyDescent="0.25"/>
    <row r="833" ht="15.75" customHeight="1" s="1" customFormat="1" x14ac:dyDescent="0.25"/>
    <row r="834" ht="15.75" customHeight="1" s="1" customFormat="1" x14ac:dyDescent="0.25"/>
    <row r="835" ht="15.75" customHeight="1" s="1" customFormat="1" x14ac:dyDescent="0.25"/>
    <row r="836" ht="15.75" customHeight="1" s="1" customFormat="1" x14ac:dyDescent="0.25"/>
    <row r="837" ht="15.75" customHeight="1" s="1" customFormat="1" x14ac:dyDescent="0.25"/>
    <row r="838" ht="15.75" customHeight="1" s="1" customFormat="1" x14ac:dyDescent="0.25"/>
    <row r="839" ht="15.75" customHeight="1" s="1" customFormat="1" x14ac:dyDescent="0.25"/>
    <row r="840" ht="15.75" customHeight="1" s="1" customFormat="1" x14ac:dyDescent="0.25"/>
    <row r="841" ht="15.75" customHeight="1" s="1" customFormat="1" x14ac:dyDescent="0.25"/>
    <row r="842" ht="15.75" customHeight="1" s="1" customFormat="1" x14ac:dyDescent="0.25"/>
    <row r="843" ht="15.75" customHeight="1" s="1" customFormat="1" x14ac:dyDescent="0.25"/>
    <row r="844" ht="15.75" customHeight="1" s="1" customFormat="1" x14ac:dyDescent="0.25"/>
    <row r="845" ht="15.75" customHeight="1" s="1" customFormat="1" x14ac:dyDescent="0.25"/>
    <row r="846" ht="15.75" customHeight="1" s="1" customFormat="1" x14ac:dyDescent="0.25"/>
    <row r="847" ht="15.75" customHeight="1" s="1" customFormat="1" x14ac:dyDescent="0.25"/>
    <row r="848" ht="15.75" customHeight="1" s="1" customFormat="1" x14ac:dyDescent="0.25"/>
    <row r="849" ht="15.75" customHeight="1" s="1" customFormat="1" x14ac:dyDescent="0.25"/>
    <row r="850" ht="15.75" customHeight="1" s="1" customFormat="1" x14ac:dyDescent="0.25"/>
    <row r="851" ht="15.75" customHeight="1" s="1" customFormat="1" x14ac:dyDescent="0.25"/>
    <row r="852" ht="15.75" customHeight="1" s="1" customFormat="1" x14ac:dyDescent="0.25"/>
    <row r="853" ht="15.75" customHeight="1" s="1" customFormat="1" x14ac:dyDescent="0.25"/>
    <row r="854" ht="15.75" customHeight="1" s="1" customFormat="1" x14ac:dyDescent="0.25"/>
    <row r="855" ht="15.75" customHeight="1" s="1" customFormat="1" x14ac:dyDescent="0.25"/>
    <row r="856" ht="15.75" customHeight="1" s="1" customFormat="1" x14ac:dyDescent="0.25"/>
    <row r="857" ht="15.75" customHeight="1" s="1" customFormat="1" x14ac:dyDescent="0.25"/>
    <row r="858" ht="15.75" customHeight="1" s="1" customFormat="1" x14ac:dyDescent="0.25"/>
    <row r="859" ht="15.75" customHeight="1" s="1" customFormat="1" x14ac:dyDescent="0.25"/>
    <row r="860" ht="15.75" customHeight="1" s="1" customFormat="1" x14ac:dyDescent="0.25"/>
    <row r="861" ht="15.75" customHeight="1" s="1" customFormat="1" x14ac:dyDescent="0.25"/>
    <row r="862" ht="15.75" customHeight="1" s="1" customFormat="1" x14ac:dyDescent="0.25"/>
    <row r="863" ht="15.75" customHeight="1" s="1" customFormat="1" x14ac:dyDescent="0.25"/>
    <row r="864" ht="15.75" customHeight="1" s="1" customFormat="1" x14ac:dyDescent="0.25"/>
    <row r="865" ht="15.75" customHeight="1" s="1" customFormat="1" x14ac:dyDescent="0.25"/>
    <row r="866" ht="15.75" customHeight="1" s="1" customFormat="1" x14ac:dyDescent="0.25"/>
    <row r="867" ht="15.75" customHeight="1" s="1" customFormat="1" x14ac:dyDescent="0.25"/>
    <row r="868" ht="15.75" customHeight="1" s="1" customFormat="1" x14ac:dyDescent="0.25"/>
    <row r="869" ht="15.75" customHeight="1" s="1" customFormat="1" x14ac:dyDescent="0.25"/>
    <row r="870" ht="15.75" customHeight="1" s="1" customFormat="1" x14ac:dyDescent="0.25"/>
    <row r="871" ht="15.75" customHeight="1" s="1" customFormat="1" x14ac:dyDescent="0.25"/>
    <row r="872" ht="15.75" customHeight="1" s="1" customFormat="1" x14ac:dyDescent="0.25"/>
    <row r="873" ht="15.75" customHeight="1" s="1" customFormat="1" x14ac:dyDescent="0.25"/>
    <row r="874" ht="15.75" customHeight="1" s="1" customFormat="1" x14ac:dyDescent="0.25"/>
    <row r="875" ht="15.75" customHeight="1" s="1" customFormat="1" x14ac:dyDescent="0.25"/>
    <row r="876" ht="15.75" customHeight="1" s="1" customFormat="1" x14ac:dyDescent="0.25"/>
    <row r="877" ht="15.75" customHeight="1" s="1" customFormat="1" x14ac:dyDescent="0.25"/>
    <row r="878" ht="15.75" customHeight="1" s="1" customFormat="1" x14ac:dyDescent="0.25"/>
    <row r="879" ht="15.75" customHeight="1" s="1" customFormat="1" x14ac:dyDescent="0.25"/>
    <row r="880" ht="15.75" customHeight="1" s="1" customFormat="1" x14ac:dyDescent="0.25"/>
    <row r="881" ht="15.75" customHeight="1" s="1" customFormat="1" x14ac:dyDescent="0.25"/>
    <row r="882" ht="15.75" customHeight="1" s="1" customFormat="1" x14ac:dyDescent="0.25"/>
    <row r="883" ht="15.75" customHeight="1" s="1" customFormat="1" x14ac:dyDescent="0.25"/>
    <row r="884" ht="15.75" customHeight="1" s="1" customFormat="1" x14ac:dyDescent="0.25"/>
    <row r="885" ht="15.75" customHeight="1" s="1" customFormat="1" x14ac:dyDescent="0.25"/>
    <row r="886" ht="15.75" customHeight="1" s="1" customFormat="1" x14ac:dyDescent="0.25"/>
    <row r="887" ht="15.75" customHeight="1" s="1" customFormat="1" x14ac:dyDescent="0.25"/>
    <row r="888" ht="15.75" customHeight="1" s="1" customFormat="1" x14ac:dyDescent="0.25"/>
    <row r="889" ht="15.75" customHeight="1" s="1" customFormat="1" x14ac:dyDescent="0.25"/>
    <row r="890" ht="15.75" customHeight="1" s="1" customFormat="1" x14ac:dyDescent="0.25"/>
    <row r="891" ht="15.75" customHeight="1" s="1" customFormat="1" x14ac:dyDescent="0.25"/>
    <row r="892" ht="15.75" customHeight="1" s="1" customFormat="1" x14ac:dyDescent="0.25"/>
    <row r="893" ht="15.75" customHeight="1" s="1" customFormat="1" x14ac:dyDescent="0.25"/>
    <row r="894" ht="15.75" customHeight="1" s="1" customFormat="1" x14ac:dyDescent="0.25"/>
    <row r="895" ht="15.75" customHeight="1" s="1" customFormat="1" x14ac:dyDescent="0.25"/>
    <row r="896" ht="15.75" customHeight="1" s="1" customFormat="1" x14ac:dyDescent="0.25"/>
    <row r="897" ht="15.75" customHeight="1" s="1" customFormat="1" x14ac:dyDescent="0.25"/>
    <row r="898" ht="15.75" customHeight="1" s="1" customFormat="1" x14ac:dyDescent="0.25"/>
    <row r="899" ht="15.75" customHeight="1" s="1" customFormat="1" x14ac:dyDescent="0.25"/>
    <row r="900" ht="15.75" customHeight="1" s="1" customFormat="1" x14ac:dyDescent="0.25"/>
    <row r="901" ht="15.75" customHeight="1" s="1" customFormat="1" x14ac:dyDescent="0.25"/>
    <row r="902" ht="15.75" customHeight="1" s="1" customFormat="1" x14ac:dyDescent="0.25"/>
    <row r="903" ht="15.75" customHeight="1" s="1" customFormat="1" x14ac:dyDescent="0.25"/>
    <row r="904" ht="15.75" customHeight="1" s="1" customFormat="1" x14ac:dyDescent="0.25"/>
    <row r="905" ht="15.75" customHeight="1" s="1" customFormat="1" x14ac:dyDescent="0.25"/>
    <row r="906" ht="15.75" customHeight="1" s="1" customFormat="1" x14ac:dyDescent="0.25"/>
    <row r="907" ht="15.75" customHeight="1" s="1" customFormat="1" x14ac:dyDescent="0.25"/>
    <row r="908" ht="15.75" customHeight="1" s="1" customFormat="1" x14ac:dyDescent="0.25"/>
    <row r="909" ht="15.75" customHeight="1" s="1" customFormat="1" x14ac:dyDescent="0.25"/>
    <row r="910" ht="15.75" customHeight="1" s="1" customFormat="1" x14ac:dyDescent="0.25"/>
    <row r="911" ht="15.75" customHeight="1" s="1" customFormat="1" x14ac:dyDescent="0.25"/>
    <row r="912" ht="15.75" customHeight="1" s="1" customFormat="1" x14ac:dyDescent="0.25"/>
    <row r="913" ht="15.75" customHeight="1" s="1" customFormat="1" x14ac:dyDescent="0.25"/>
    <row r="914" ht="15.75" customHeight="1" s="1" customFormat="1" x14ac:dyDescent="0.25"/>
    <row r="915" ht="15.75" customHeight="1" s="1" customFormat="1" x14ac:dyDescent="0.25"/>
    <row r="916" ht="15.75" customHeight="1" s="1" customFormat="1" x14ac:dyDescent="0.25"/>
    <row r="917" ht="15.75" customHeight="1" s="1" customFormat="1" x14ac:dyDescent="0.25"/>
    <row r="918" ht="15.75" customHeight="1" s="1" customFormat="1" x14ac:dyDescent="0.25"/>
    <row r="919" ht="15.75" customHeight="1" s="1" customFormat="1" x14ac:dyDescent="0.25"/>
    <row r="920" ht="15.75" customHeight="1" s="1" customFormat="1" x14ac:dyDescent="0.25"/>
    <row r="921" ht="15.75" customHeight="1" s="1" customFormat="1" x14ac:dyDescent="0.25"/>
    <row r="922" ht="15.75" customHeight="1" s="1" customFormat="1" x14ac:dyDescent="0.25"/>
    <row r="923" ht="15.75" customHeight="1" s="1" customFormat="1" x14ac:dyDescent="0.25"/>
    <row r="924" ht="15.75" customHeight="1" s="1" customFormat="1" x14ac:dyDescent="0.25"/>
    <row r="925" ht="15.75" customHeight="1" s="1" customFormat="1" x14ac:dyDescent="0.25"/>
    <row r="926" ht="15.75" customHeight="1" s="1" customFormat="1" x14ac:dyDescent="0.25"/>
    <row r="927" ht="15.75" customHeight="1" s="1" customFormat="1" x14ac:dyDescent="0.25"/>
    <row r="928" ht="15.75" customHeight="1" s="1" customFormat="1" x14ac:dyDescent="0.25"/>
    <row r="929" ht="15.75" customHeight="1" s="1" customFormat="1" x14ac:dyDescent="0.25"/>
    <row r="930" ht="15.75" customHeight="1" s="1" customFormat="1" x14ac:dyDescent="0.25"/>
    <row r="931" ht="15.75" customHeight="1" s="1" customFormat="1" x14ac:dyDescent="0.25"/>
    <row r="932" ht="15.75" customHeight="1" s="1" customFormat="1" x14ac:dyDescent="0.25"/>
    <row r="933" ht="15.75" customHeight="1" s="1" customFormat="1" x14ac:dyDescent="0.25"/>
    <row r="934" ht="15.75" customHeight="1" s="1" customFormat="1" x14ac:dyDescent="0.25"/>
    <row r="935" ht="15.75" customHeight="1" s="1" customFormat="1" x14ac:dyDescent="0.25"/>
    <row r="936" ht="15.75" customHeight="1" s="1" customFormat="1" x14ac:dyDescent="0.25"/>
    <row r="937" ht="15.75" customHeight="1" s="1" customFormat="1" x14ac:dyDescent="0.25"/>
    <row r="938" ht="15.75" customHeight="1" s="1" customFormat="1" x14ac:dyDescent="0.25"/>
    <row r="939" ht="15.75" customHeight="1" s="1" customFormat="1" x14ac:dyDescent="0.25"/>
    <row r="940" ht="15.75" customHeight="1" s="1" customFormat="1" x14ac:dyDescent="0.25"/>
    <row r="941" ht="15.75" customHeight="1" s="1" customFormat="1" x14ac:dyDescent="0.25"/>
    <row r="942" ht="15.75" customHeight="1" s="1" customFormat="1" x14ac:dyDescent="0.25"/>
    <row r="943" ht="15.75" customHeight="1" s="1" customFormat="1" x14ac:dyDescent="0.25"/>
    <row r="944" ht="15.75" customHeight="1" s="1" customFormat="1" x14ac:dyDescent="0.25"/>
    <row r="945" ht="15.75" customHeight="1" s="1" customFormat="1" x14ac:dyDescent="0.25"/>
    <row r="946" ht="15.75" customHeight="1" s="1" customFormat="1" x14ac:dyDescent="0.25"/>
    <row r="947" ht="15.75" customHeight="1" s="1" customFormat="1" x14ac:dyDescent="0.25"/>
    <row r="948" ht="15.75" customHeight="1" s="1" customFormat="1" x14ac:dyDescent="0.25"/>
    <row r="949" ht="15.75" customHeight="1" s="1" customFormat="1" x14ac:dyDescent="0.25"/>
    <row r="950" ht="15.75" customHeight="1" s="1" customFormat="1" x14ac:dyDescent="0.25"/>
    <row r="951" ht="15.75" customHeight="1" s="1" customFormat="1" x14ac:dyDescent="0.25"/>
    <row r="952" ht="15.75" customHeight="1" s="1" customFormat="1" x14ac:dyDescent="0.25"/>
    <row r="953" ht="15.75" customHeight="1" s="1" customFormat="1" x14ac:dyDescent="0.25"/>
    <row r="954" ht="15.75" customHeight="1" s="1" customFormat="1" x14ac:dyDescent="0.25"/>
    <row r="955" ht="15.75" customHeight="1" s="1" customFormat="1" x14ac:dyDescent="0.25"/>
    <row r="956" ht="15.75" customHeight="1" s="1" customFormat="1" x14ac:dyDescent="0.25"/>
    <row r="957" ht="15.75" customHeight="1" s="1" customFormat="1" x14ac:dyDescent="0.25"/>
    <row r="958" ht="15.75" customHeight="1" s="1" customFormat="1" x14ac:dyDescent="0.25"/>
    <row r="959" ht="15.75" customHeight="1" s="1" customFormat="1" x14ac:dyDescent="0.25"/>
    <row r="960" ht="15.75" customHeight="1" s="1" customFormat="1" x14ac:dyDescent="0.25"/>
    <row r="961" ht="15.75" customHeight="1" s="1" customFormat="1" x14ac:dyDescent="0.25"/>
    <row r="962" ht="15.75" customHeight="1" s="1" customFormat="1" x14ac:dyDescent="0.25"/>
    <row r="963" ht="15.75" customHeight="1" s="1" customFormat="1" x14ac:dyDescent="0.25"/>
    <row r="964" ht="15.75" customHeight="1" s="1" customFormat="1" x14ac:dyDescent="0.25"/>
    <row r="965" ht="15.75" customHeight="1" s="1" customFormat="1" x14ac:dyDescent="0.25"/>
    <row r="966" ht="15.75" customHeight="1" s="1" customFormat="1" x14ac:dyDescent="0.25"/>
    <row r="967" ht="15.75" customHeight="1" s="1" customFormat="1" x14ac:dyDescent="0.25"/>
    <row r="968" ht="15.75" customHeight="1" s="1" customFormat="1" x14ac:dyDescent="0.25"/>
    <row r="969" ht="15.75" customHeight="1" s="1" customFormat="1" x14ac:dyDescent="0.25"/>
    <row r="970" ht="15.75" customHeight="1" s="1" customFormat="1" x14ac:dyDescent="0.25"/>
    <row r="971" ht="15.75" customHeight="1" s="1" customFormat="1" x14ac:dyDescent="0.25"/>
    <row r="972" ht="15.75" customHeight="1" s="1" customFormat="1" x14ac:dyDescent="0.25"/>
    <row r="973" ht="15.75" customHeight="1" s="1" customFormat="1" x14ac:dyDescent="0.25"/>
    <row r="974" ht="15.75" customHeight="1" s="1" customFormat="1" x14ac:dyDescent="0.25"/>
    <row r="975" ht="15.75" customHeight="1" s="1" customFormat="1" x14ac:dyDescent="0.25"/>
    <row r="976" ht="15.75" customHeight="1" s="1" customFormat="1" x14ac:dyDescent="0.25"/>
    <row r="977" ht="15.75" customHeight="1" s="1" customFormat="1" x14ac:dyDescent="0.25"/>
    <row r="978" ht="15.75" customHeight="1" s="1" customFormat="1" x14ac:dyDescent="0.25"/>
    <row r="979" ht="15.75" customHeight="1" s="1" customFormat="1" x14ac:dyDescent="0.25"/>
    <row r="980" ht="15.75" customHeight="1" s="1" customFormat="1" x14ac:dyDescent="0.25"/>
    <row r="981" ht="15.75" customHeight="1" s="1" customFormat="1" x14ac:dyDescent="0.25"/>
    <row r="982" ht="15.75" customHeight="1" s="1" customFormat="1" x14ac:dyDescent="0.25"/>
    <row r="983" ht="15.75" customHeight="1" s="1" customFormat="1" x14ac:dyDescent="0.25"/>
    <row r="984" ht="15.75" customHeight="1" s="1" customFormat="1" x14ac:dyDescent="0.25"/>
    <row r="985" ht="15.75" customHeight="1" s="1" customFormat="1" x14ac:dyDescent="0.25"/>
    <row r="986" ht="15.75" customHeight="1" s="1" customFormat="1" x14ac:dyDescent="0.25"/>
    <row r="987" ht="15.75" customHeight="1" s="1" customFormat="1" x14ac:dyDescent="0.25"/>
    <row r="988" ht="15.75" customHeight="1" s="1" customFormat="1" x14ac:dyDescent="0.25"/>
    <row r="989" ht="15.75" customHeight="1" s="1" customFormat="1" x14ac:dyDescent="0.25"/>
    <row r="990" ht="15.75" customHeight="1" s="1" customFormat="1" x14ac:dyDescent="0.25"/>
    <row r="991" ht="15.75" customHeight="1" s="1" customFormat="1" x14ac:dyDescent="0.25"/>
    <row r="992" ht="15.75" customHeight="1" s="1" customFormat="1" x14ac:dyDescent="0.25"/>
    <row r="993" ht="15.75" customHeight="1" s="1" customFormat="1" x14ac:dyDescent="0.25"/>
    <row r="994" ht="15.75" customHeight="1" s="1" customFormat="1" x14ac:dyDescent="0.25"/>
    <row r="995" ht="15.75" customHeight="1" s="1" customFormat="1" x14ac:dyDescent="0.25"/>
    <row r="996" ht="15.75" customHeight="1" s="1" customFormat="1" x14ac:dyDescent="0.25"/>
    <row r="997" ht="15.75" customHeight="1" s="1" customFormat="1" x14ac:dyDescent="0.25"/>
    <row r="998" ht="15.75" customHeight="1" s="1" customFormat="1" x14ac:dyDescent="0.25"/>
    <row r="999" ht="15.75" customHeight="1" s="1" customFormat="1" x14ac:dyDescent="0.25"/>
    <row r="1000" ht="15.75" customHeight="1" s="1" customFormat="1" x14ac:dyDescent="0.25"/>
  </sheetData>
  <mergeCells count="3">
    <mergeCell ref="A1:E1"/>
    <mergeCell ref="A2:E2"/>
    <mergeCell ref="A3:E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Leia-me</vt:lpstr>
      <vt:lpstr>Painel</vt:lpstr>
      <vt:lpstr>Clientes</vt:lpstr>
      <vt:lpstr>Produtos</vt:lpstr>
      <vt:lpstr>Movimentações</vt:lpstr>
      <vt:lpstr>Vendas</vt:lpstr>
      <vt:lpstr>Fluxo de Caixa</vt:lpstr>
      <vt:lpstr>Contas a Pagar</vt:lpstr>
      <vt:lpstr>Contas a Receber</vt:lpstr>
      <vt:lpstr>DRE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2026-05-14T00:42:58Z</dcterms:created>
  <dcterms:modified xsi:type="dcterms:W3CDTF">2026-05-14T00:42:58Z</dcterms:modified>
</cp:coreProperties>
</file>